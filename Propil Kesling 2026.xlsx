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riai\Downloads\"/>
    </mc:Choice>
  </mc:AlternateContent>
  <xr:revisionPtr revIDLastSave="0" documentId="13_ncr:1_{117E6502-06F4-4FF4-9CAD-16725F0C0951}" xr6:coauthVersionLast="47" xr6:coauthVersionMax="47" xr10:uidLastSave="{00000000-0000-0000-0000-000000000000}"/>
  <bookViews>
    <workbookView xWindow="-110" yWindow="-110" windowWidth="19420" windowHeight="10300" tabRatio="887" xr2:uid="{00000000-000D-0000-FFFF-FFFF00000000}"/>
  </bookViews>
  <sheets>
    <sheet name="79 " sheetId="90" r:id="rId1"/>
    <sheet name="80" sheetId="84" r:id="rId2"/>
    <sheet name="81" sheetId="85" r:id="rId3"/>
    <sheet name="82" sheetId="86" r:id="rId4"/>
    <sheet name="83" sheetId="87" r:id="rId5"/>
  </sheets>
  <externalReferences>
    <externalReference r:id="rId6"/>
  </externalReferences>
  <definedNames>
    <definedName name="_xlnm.Print_Area" localSheetId="0">'79 '!$A$1:$H$273</definedName>
    <definedName name="_xlnm.Print_Area" localSheetId="1">'80'!$A$1:$P$142</definedName>
    <definedName name="_xlnm.Print_Area" localSheetId="2">'81'!$A$1:$W$144</definedName>
    <definedName name="_xlnm.Print_Area" localSheetId="3">'82'!$A$1:$S$150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13" i="85" l="1"/>
  <c r="S10" i="85"/>
  <c r="Q13" i="85"/>
  <c r="F120" i="85" l="1"/>
  <c r="F10" i="85" s="1"/>
  <c r="I111" i="86"/>
  <c r="I112" i="86"/>
  <c r="I113" i="86"/>
  <c r="I114" i="86"/>
  <c r="I115" i="86"/>
  <c r="I116" i="86"/>
  <c r="I117" i="86"/>
  <c r="I118" i="86"/>
  <c r="I119" i="86"/>
  <c r="I120" i="86"/>
  <c r="I121" i="86"/>
  <c r="I122" i="86"/>
  <c r="I110" i="86"/>
  <c r="K110" i="86"/>
  <c r="M110" i="86"/>
  <c r="O110" i="86"/>
  <c r="Q110" i="86"/>
  <c r="K111" i="86"/>
  <c r="M111" i="86"/>
  <c r="O111" i="86"/>
  <c r="Q111" i="86"/>
  <c r="K112" i="86"/>
  <c r="M112" i="86"/>
  <c r="O112" i="86"/>
  <c r="Q112" i="86"/>
  <c r="K113" i="86"/>
  <c r="M113" i="86"/>
  <c r="O113" i="86"/>
  <c r="Q113" i="86"/>
  <c r="K114" i="86"/>
  <c r="M114" i="86"/>
  <c r="O114" i="86"/>
  <c r="Q114" i="86"/>
  <c r="K115" i="86"/>
  <c r="M115" i="86"/>
  <c r="O115" i="86"/>
  <c r="Q115" i="86"/>
  <c r="K116" i="86"/>
  <c r="M116" i="86"/>
  <c r="O116" i="86"/>
  <c r="Q116" i="86"/>
  <c r="K117" i="86"/>
  <c r="M117" i="86"/>
  <c r="O117" i="86"/>
  <c r="Q117" i="86"/>
  <c r="K118" i="86"/>
  <c r="M118" i="86"/>
  <c r="O118" i="86"/>
  <c r="Q118" i="86"/>
  <c r="K119" i="86"/>
  <c r="M119" i="86"/>
  <c r="O119" i="86"/>
  <c r="Q119" i="86"/>
  <c r="K120" i="86"/>
  <c r="M120" i="86"/>
  <c r="O120" i="86"/>
  <c r="Q120" i="86"/>
  <c r="K121" i="86"/>
  <c r="M121" i="86"/>
  <c r="O121" i="86"/>
  <c r="Q121" i="86"/>
  <c r="K122" i="86"/>
  <c r="M122" i="86"/>
  <c r="O122" i="86"/>
  <c r="Q122" i="86"/>
  <c r="Q120" i="85"/>
  <c r="V108" i="85"/>
  <c r="V109" i="85"/>
  <c r="V110" i="85"/>
  <c r="V111" i="85"/>
  <c r="V112" i="85"/>
  <c r="V113" i="85"/>
  <c r="V114" i="85"/>
  <c r="V115" i="85"/>
  <c r="V116" i="85"/>
  <c r="V117" i="85"/>
  <c r="V118" i="85"/>
  <c r="V119" i="85"/>
  <c r="V107" i="85"/>
  <c r="P27" i="84"/>
  <c r="N28" i="84"/>
  <c r="N29" i="84"/>
  <c r="N30" i="84"/>
  <c r="N31" i="84"/>
  <c r="N32" i="84"/>
  <c r="N33" i="84"/>
  <c r="N34" i="84"/>
  <c r="N35" i="84"/>
  <c r="N36" i="84"/>
  <c r="N37" i="84"/>
  <c r="N38" i="84"/>
  <c r="N39" i="84"/>
  <c r="N40" i="84"/>
  <c r="N27" i="84"/>
  <c r="M28" i="84"/>
  <c r="M29" i="84"/>
  <c r="M30" i="84"/>
  <c r="M31" i="84"/>
  <c r="M32" i="84"/>
  <c r="M33" i="84"/>
  <c r="M34" i="84"/>
  <c r="M35" i="84"/>
  <c r="M36" i="84"/>
  <c r="M37" i="84"/>
  <c r="M38" i="84"/>
  <c r="M39" i="84"/>
  <c r="M27" i="84"/>
  <c r="L28" i="84"/>
  <c r="L29" i="84"/>
  <c r="L30" i="84"/>
  <c r="L31" i="84"/>
  <c r="L32" i="84"/>
  <c r="L33" i="84"/>
  <c r="L34" i="84"/>
  <c r="L35" i="84"/>
  <c r="L36" i="84"/>
  <c r="L37" i="84"/>
  <c r="L38" i="84"/>
  <c r="L39" i="84"/>
  <c r="L27" i="84"/>
  <c r="Q10" i="85" l="1"/>
  <c r="Y46" i="87"/>
  <c r="Y47" i="87"/>
  <c r="Y48" i="87"/>
  <c r="Y49" i="87"/>
  <c r="Y50" i="87"/>
  <c r="Y45" i="87"/>
  <c r="P46" i="87"/>
  <c r="P47" i="87"/>
  <c r="P48" i="87"/>
  <c r="P49" i="87"/>
  <c r="P50" i="87"/>
  <c r="P45" i="87"/>
  <c r="G46" i="87"/>
  <c r="G47" i="87"/>
  <c r="G48" i="87"/>
  <c r="G49" i="87"/>
  <c r="G50" i="87"/>
  <c r="G45" i="87"/>
  <c r="P47" i="85"/>
  <c r="P48" i="85"/>
  <c r="P49" i="85"/>
  <c r="P50" i="85"/>
  <c r="P51" i="85"/>
  <c r="N47" i="85"/>
  <c r="N48" i="85"/>
  <c r="N49" i="85"/>
  <c r="N50" i="85"/>
  <c r="N51" i="85"/>
  <c r="L47" i="85"/>
  <c r="L48" i="85"/>
  <c r="L49" i="85"/>
  <c r="L50" i="85"/>
  <c r="L51" i="85"/>
  <c r="P46" i="85"/>
  <c r="N46" i="85"/>
  <c r="L46" i="85"/>
  <c r="J47" i="85"/>
  <c r="J48" i="85"/>
  <c r="J49" i="85"/>
  <c r="J50" i="85"/>
  <c r="J51" i="85"/>
  <c r="J46" i="85"/>
  <c r="P105" i="84"/>
  <c r="P106" i="84"/>
  <c r="P107" i="84"/>
  <c r="P108" i="84"/>
  <c r="P109" i="84"/>
  <c r="P110" i="84"/>
  <c r="P104" i="84"/>
  <c r="O105" i="84"/>
  <c r="O106" i="84"/>
  <c r="O107" i="84"/>
  <c r="O108" i="84"/>
  <c r="O109" i="84"/>
  <c r="O110" i="84"/>
  <c r="N105" i="84"/>
  <c r="N106" i="84"/>
  <c r="N107" i="84"/>
  <c r="N108" i="84"/>
  <c r="N109" i="84"/>
  <c r="N110" i="84"/>
  <c r="O104" i="84"/>
  <c r="N104" i="84"/>
  <c r="M110" i="84"/>
  <c r="M105" i="84"/>
  <c r="M106" i="84"/>
  <c r="M107" i="84"/>
  <c r="M108" i="84"/>
  <c r="M109" i="84"/>
  <c r="M104" i="84"/>
  <c r="L105" i="84"/>
  <c r="L106" i="84"/>
  <c r="L107" i="84"/>
  <c r="L108" i="84"/>
  <c r="L109" i="84"/>
  <c r="L110" i="84"/>
  <c r="L104" i="84"/>
  <c r="L101" i="84"/>
  <c r="P120" i="84" l="1"/>
  <c r="P121" i="84"/>
  <c r="P122" i="84"/>
  <c r="P123" i="84"/>
  <c r="P124" i="84"/>
  <c r="P125" i="84"/>
  <c r="P126" i="84"/>
  <c r="P127" i="84"/>
  <c r="P128" i="84"/>
  <c r="P129" i="84"/>
  <c r="P119" i="84"/>
  <c r="N120" i="84"/>
  <c r="N121" i="84"/>
  <c r="N122" i="84"/>
  <c r="N123" i="84"/>
  <c r="N124" i="84"/>
  <c r="N125" i="84"/>
  <c r="N126" i="84"/>
  <c r="N127" i="84"/>
  <c r="N128" i="84"/>
  <c r="N119" i="84"/>
  <c r="N129" i="84"/>
  <c r="M129" i="84"/>
  <c r="M120" i="84"/>
  <c r="M121" i="84"/>
  <c r="M122" i="84"/>
  <c r="M123" i="84"/>
  <c r="M124" i="84"/>
  <c r="M125" i="84"/>
  <c r="M126" i="84"/>
  <c r="M127" i="84"/>
  <c r="M128" i="84"/>
  <c r="E129" i="84"/>
  <c r="L129" i="84"/>
  <c r="L126" i="84"/>
  <c r="L127" i="84"/>
  <c r="L128" i="84"/>
  <c r="L120" i="84"/>
  <c r="L121" i="84"/>
  <c r="L122" i="84"/>
  <c r="L123" i="84"/>
  <c r="L124" i="84"/>
  <c r="L125" i="84"/>
  <c r="L119" i="84"/>
  <c r="R145" i="86"/>
  <c r="R144" i="86"/>
  <c r="R143" i="86"/>
  <c r="R142" i="86"/>
  <c r="R141" i="86"/>
  <c r="R140" i="86"/>
  <c r="R139" i="86"/>
  <c r="R138" i="86"/>
  <c r="R137" i="86"/>
  <c r="R136" i="86"/>
  <c r="M140" i="86"/>
  <c r="K136" i="86"/>
  <c r="I145" i="86"/>
  <c r="I144" i="86"/>
  <c r="I143" i="86"/>
  <c r="I142" i="86"/>
  <c r="I141" i="86"/>
  <c r="I140" i="86"/>
  <c r="I139" i="86"/>
  <c r="I138" i="86"/>
  <c r="I137" i="86"/>
  <c r="I136" i="86"/>
  <c r="Y136" i="87"/>
  <c r="Y137" i="87"/>
  <c r="Y138" i="87"/>
  <c r="X141" i="87"/>
  <c r="W141" i="87"/>
  <c r="X140" i="87"/>
  <c r="W140" i="87"/>
  <c r="X139" i="87"/>
  <c r="W139" i="87"/>
  <c r="X138" i="87"/>
  <c r="X137" i="87"/>
  <c r="X136" i="87"/>
  <c r="W136" i="87"/>
  <c r="X135" i="87"/>
  <c r="W135" i="87"/>
  <c r="X134" i="87"/>
  <c r="Y134" i="87" s="1"/>
  <c r="X133" i="87"/>
  <c r="Y133" i="87" s="1"/>
  <c r="X132" i="87"/>
  <c r="Y132" i="87" s="1"/>
  <c r="Q141" i="87"/>
  <c r="Q140" i="87"/>
  <c r="Q139" i="87"/>
  <c r="Q136" i="87"/>
  <c r="Q135" i="87"/>
  <c r="Q134" i="87"/>
  <c r="N140" i="87"/>
  <c r="N139" i="87"/>
  <c r="N137" i="87"/>
  <c r="N135" i="87"/>
  <c r="N134" i="87"/>
  <c r="Y135" i="87" l="1"/>
  <c r="Y141" i="87"/>
  <c r="Y139" i="87"/>
  <c r="Y140" i="87"/>
  <c r="M72" i="87"/>
  <c r="K36" i="87"/>
  <c r="P74" i="85" l="1"/>
  <c r="P75" i="85"/>
  <c r="P76" i="85"/>
  <c r="P77" i="85"/>
  <c r="P78" i="85"/>
  <c r="P79" i="85"/>
  <c r="P80" i="85"/>
  <c r="P81" i="85"/>
  <c r="P82" i="85"/>
  <c r="P83" i="85"/>
  <c r="P84" i="85"/>
  <c r="P73" i="85"/>
  <c r="N74" i="85"/>
  <c r="N75" i="85"/>
  <c r="N76" i="85"/>
  <c r="N77" i="85"/>
  <c r="N78" i="85"/>
  <c r="N79" i="85"/>
  <c r="N80" i="85"/>
  <c r="N81" i="85"/>
  <c r="N82" i="85"/>
  <c r="N83" i="85"/>
  <c r="N84" i="85"/>
  <c r="N73" i="85"/>
  <c r="L74" i="85"/>
  <c r="L75" i="85"/>
  <c r="L76" i="85"/>
  <c r="L77" i="85"/>
  <c r="L78" i="85"/>
  <c r="L79" i="85"/>
  <c r="L80" i="85"/>
  <c r="L81" i="85"/>
  <c r="L82" i="85"/>
  <c r="L83" i="85"/>
  <c r="L84" i="85"/>
  <c r="L73" i="85"/>
  <c r="J74" i="85"/>
  <c r="J75" i="85"/>
  <c r="J76" i="85"/>
  <c r="J77" i="85"/>
  <c r="J78" i="85"/>
  <c r="J79" i="85"/>
  <c r="J80" i="85"/>
  <c r="J81" i="85"/>
  <c r="J82" i="85"/>
  <c r="J83" i="85"/>
  <c r="J84" i="85"/>
  <c r="J73" i="85"/>
  <c r="U84" i="85"/>
  <c r="V84" i="85" s="1"/>
  <c r="U83" i="85"/>
  <c r="V83" i="85" s="1"/>
  <c r="U82" i="85"/>
  <c r="V82" i="85" s="1"/>
  <c r="U81" i="85"/>
  <c r="V81" i="85" s="1"/>
  <c r="U80" i="85"/>
  <c r="V80" i="85" s="1"/>
  <c r="U79" i="85"/>
  <c r="V79" i="85" s="1"/>
  <c r="U78" i="85"/>
  <c r="V78" i="85" s="1"/>
  <c r="U77" i="85"/>
  <c r="V77" i="85" s="1"/>
  <c r="U76" i="85"/>
  <c r="V76" i="85" s="1"/>
  <c r="U75" i="85"/>
  <c r="V75" i="85" s="1"/>
  <c r="U74" i="85"/>
  <c r="V74" i="85" s="1"/>
  <c r="U73" i="85"/>
  <c r="V73" i="85" s="1"/>
  <c r="N71" i="84"/>
  <c r="N70" i="84"/>
  <c r="N69" i="84"/>
  <c r="N68" i="84"/>
  <c r="N67" i="84"/>
  <c r="N66" i="84"/>
  <c r="N65" i="84"/>
  <c r="N64" i="84"/>
  <c r="N63" i="84"/>
  <c r="N62" i="84"/>
  <c r="N61" i="84"/>
  <c r="N60" i="84"/>
  <c r="L71" i="84"/>
  <c r="L70" i="84"/>
  <c r="L69" i="84"/>
  <c r="L68" i="84"/>
  <c r="L67" i="84"/>
  <c r="L66" i="84"/>
  <c r="L65" i="84"/>
  <c r="L64" i="84"/>
  <c r="L63" i="84"/>
  <c r="L62" i="84"/>
  <c r="L61" i="84"/>
  <c r="L60" i="84"/>
  <c r="U85" i="85" l="1"/>
  <c r="N35" i="87"/>
  <c r="V30" i="85"/>
  <c r="V31" i="85"/>
  <c r="V32" i="85"/>
  <c r="V33" i="85"/>
  <c r="V34" i="85"/>
  <c r="V35" i="85"/>
  <c r="V36" i="85"/>
  <c r="T30" i="85"/>
  <c r="T31" i="85"/>
  <c r="T32" i="85"/>
  <c r="T33" i="85"/>
  <c r="T34" i="85"/>
  <c r="T35" i="85"/>
  <c r="T36" i="85"/>
  <c r="V29" i="85"/>
  <c r="T29" i="85"/>
  <c r="J29" i="85"/>
  <c r="P42" i="84"/>
  <c r="P43" i="84"/>
  <c r="P44" i="84"/>
  <c r="P45" i="84"/>
  <c r="P46" i="84"/>
  <c r="P47" i="84"/>
  <c r="P48" i="84"/>
  <c r="P49" i="84"/>
  <c r="P41" i="84"/>
  <c r="O49" i="84"/>
  <c r="O42" i="84"/>
  <c r="O43" i="84"/>
  <c r="O44" i="84"/>
  <c r="O45" i="84"/>
  <c r="O46" i="84"/>
  <c r="O47" i="84"/>
  <c r="O48" i="84"/>
  <c r="O41" i="84"/>
  <c r="N42" i="84"/>
  <c r="N43" i="84"/>
  <c r="N44" i="84"/>
  <c r="N45" i="84"/>
  <c r="N46" i="84"/>
  <c r="N47" i="84"/>
  <c r="N48" i="84"/>
  <c r="N49" i="84"/>
  <c r="N41" i="84"/>
  <c r="N50" i="84"/>
  <c r="M41" i="84"/>
  <c r="L41" i="84"/>
  <c r="Y121" i="87" l="1"/>
  <c r="Y122" i="87"/>
  <c r="Y123" i="87"/>
  <c r="Y124" i="87"/>
  <c r="Y125" i="87"/>
  <c r="Y126" i="87"/>
  <c r="Y127" i="87"/>
  <c r="Y128" i="87"/>
  <c r="Y129" i="87"/>
  <c r="Y130" i="87"/>
  <c r="Y120" i="87"/>
  <c r="V122" i="85" l="1"/>
  <c r="V123" i="85"/>
  <c r="V124" i="85"/>
  <c r="V125" i="85"/>
  <c r="V126" i="85"/>
  <c r="V127" i="85"/>
  <c r="V128" i="85"/>
  <c r="V129" i="85"/>
  <c r="V130" i="85"/>
  <c r="V131" i="85"/>
  <c r="V121" i="85"/>
  <c r="U132" i="85"/>
  <c r="S132" i="85"/>
  <c r="S20" i="85" s="1"/>
  <c r="T122" i="85"/>
  <c r="T123" i="85"/>
  <c r="T124" i="85"/>
  <c r="T125" i="85"/>
  <c r="T126" i="85"/>
  <c r="T127" i="85"/>
  <c r="T128" i="85"/>
  <c r="T129" i="85"/>
  <c r="T130" i="85"/>
  <c r="T131" i="85"/>
  <c r="T121" i="85"/>
  <c r="N122" i="85"/>
  <c r="N123" i="85"/>
  <c r="N124" i="85"/>
  <c r="N125" i="85"/>
  <c r="N126" i="85"/>
  <c r="N127" i="85"/>
  <c r="N128" i="85"/>
  <c r="N129" i="85"/>
  <c r="N130" i="85"/>
  <c r="N131" i="85"/>
  <c r="N121" i="85"/>
  <c r="J122" i="85"/>
  <c r="J123" i="85"/>
  <c r="J124" i="85"/>
  <c r="J125" i="85"/>
  <c r="J126" i="85"/>
  <c r="J127" i="85"/>
  <c r="J128" i="85"/>
  <c r="J129" i="85"/>
  <c r="J130" i="85"/>
  <c r="J131" i="85"/>
  <c r="L122" i="85"/>
  <c r="L123" i="85"/>
  <c r="L124" i="85"/>
  <c r="L125" i="85"/>
  <c r="L126" i="85"/>
  <c r="L127" i="85"/>
  <c r="L128" i="85"/>
  <c r="L129" i="85"/>
  <c r="L130" i="85"/>
  <c r="L131" i="85"/>
  <c r="L121" i="85"/>
  <c r="J121" i="85"/>
  <c r="P131" i="84"/>
  <c r="P132" i="84"/>
  <c r="P133" i="84"/>
  <c r="P134" i="84"/>
  <c r="P135" i="84"/>
  <c r="P136" i="84"/>
  <c r="P137" i="84"/>
  <c r="P138" i="84"/>
  <c r="P139" i="84"/>
  <c r="P140" i="84"/>
  <c r="P141" i="84"/>
  <c r="P130" i="84"/>
  <c r="M131" i="84"/>
  <c r="M132" i="84"/>
  <c r="M133" i="84"/>
  <c r="M134" i="84"/>
  <c r="M135" i="84"/>
  <c r="M136" i="84"/>
  <c r="M137" i="84"/>
  <c r="M138" i="84"/>
  <c r="M139" i="84"/>
  <c r="M140" i="84"/>
  <c r="M141" i="84"/>
  <c r="M130" i="84"/>
  <c r="L141" i="84"/>
  <c r="L131" i="84"/>
  <c r="L132" i="84"/>
  <c r="L133" i="84"/>
  <c r="L134" i="84"/>
  <c r="L135" i="84"/>
  <c r="L136" i="84"/>
  <c r="L137" i="84"/>
  <c r="L138" i="84"/>
  <c r="L139" i="84"/>
  <c r="L140" i="84"/>
  <c r="L130" i="84"/>
  <c r="P111" i="84" l="1"/>
  <c r="N117" i="84"/>
  <c r="N116" i="84"/>
  <c r="N115" i="84"/>
  <c r="N114" i="84"/>
  <c r="N113" i="84"/>
  <c r="N112" i="84"/>
  <c r="N111" i="84"/>
  <c r="L112" i="84"/>
  <c r="L113" i="84"/>
  <c r="L114" i="84"/>
  <c r="L115" i="84"/>
  <c r="L116" i="84"/>
  <c r="L117" i="84"/>
  <c r="L118" i="84"/>
  <c r="L111" i="84"/>
  <c r="V54" i="85"/>
  <c r="V55" i="85"/>
  <c r="V56" i="85"/>
  <c r="V57" i="85"/>
  <c r="V58" i="85"/>
  <c r="V59" i="85"/>
  <c r="V53" i="85"/>
  <c r="U60" i="85"/>
  <c r="T54" i="85"/>
  <c r="T55" i="85"/>
  <c r="T56" i="85"/>
  <c r="T57" i="85"/>
  <c r="T58" i="85"/>
  <c r="T59" i="85"/>
  <c r="S60" i="85"/>
  <c r="S18" i="85" s="1"/>
  <c r="T53" i="85"/>
  <c r="R54" i="85"/>
  <c r="R55" i="85"/>
  <c r="R56" i="85"/>
  <c r="R57" i="85"/>
  <c r="R58" i="85"/>
  <c r="R59" i="85"/>
  <c r="R53" i="85"/>
  <c r="P54" i="85"/>
  <c r="P55" i="85"/>
  <c r="P56" i="85"/>
  <c r="P57" i="85"/>
  <c r="P58" i="85"/>
  <c r="P59" i="85"/>
  <c r="P53" i="85"/>
  <c r="N54" i="85"/>
  <c r="N55" i="85"/>
  <c r="N56" i="85"/>
  <c r="N57" i="85"/>
  <c r="N58" i="85"/>
  <c r="N59" i="85"/>
  <c r="N53" i="85"/>
  <c r="L54" i="85"/>
  <c r="L55" i="85"/>
  <c r="L56" i="85"/>
  <c r="L57" i="85"/>
  <c r="L58" i="85"/>
  <c r="L59" i="85"/>
  <c r="L53" i="85"/>
  <c r="H55" i="85"/>
  <c r="H56" i="85"/>
  <c r="H57" i="85"/>
  <c r="H58" i="85"/>
  <c r="H59" i="85"/>
  <c r="J54" i="85"/>
  <c r="J55" i="85"/>
  <c r="J56" i="85"/>
  <c r="J57" i="85"/>
  <c r="J58" i="85"/>
  <c r="J59" i="85"/>
  <c r="J53" i="85"/>
  <c r="H54" i="85"/>
  <c r="H53" i="85"/>
  <c r="I56" i="86"/>
  <c r="V58" i="87" l="1"/>
  <c r="P57" i="87"/>
  <c r="P58" i="87"/>
  <c r="G53" i="87"/>
  <c r="G54" i="87"/>
  <c r="G55" i="87"/>
  <c r="G56" i="87"/>
  <c r="G57" i="87"/>
  <c r="G58" i="87"/>
  <c r="G52" i="87"/>
  <c r="V86" i="87" l="1"/>
  <c r="V87" i="87"/>
  <c r="V88" i="87"/>
  <c r="V89" i="87"/>
  <c r="V90" i="87"/>
  <c r="V91" i="87"/>
  <c r="V92" i="87"/>
  <c r="V93" i="87"/>
  <c r="V94" i="87"/>
  <c r="V85" i="87"/>
  <c r="S86" i="87"/>
  <c r="S87" i="87"/>
  <c r="S88" i="87"/>
  <c r="S89" i="87"/>
  <c r="S90" i="87"/>
  <c r="S91" i="87"/>
  <c r="S92" i="87"/>
  <c r="S93" i="87"/>
  <c r="S94" i="87"/>
  <c r="S85" i="87"/>
  <c r="M86" i="87"/>
  <c r="M87" i="87"/>
  <c r="M88" i="87"/>
  <c r="M89" i="87"/>
  <c r="M90" i="87"/>
  <c r="M91" i="87"/>
  <c r="M92" i="87"/>
  <c r="M93" i="87"/>
  <c r="M94" i="87"/>
  <c r="M85" i="87"/>
  <c r="P86" i="87"/>
  <c r="P87" i="87"/>
  <c r="P88" i="87"/>
  <c r="P89" i="87"/>
  <c r="P90" i="87"/>
  <c r="P91" i="87"/>
  <c r="P92" i="87"/>
  <c r="P93" i="87"/>
  <c r="P94" i="87"/>
  <c r="P85" i="87"/>
  <c r="V87" i="85"/>
  <c r="V88" i="85"/>
  <c r="V89" i="85"/>
  <c r="V90" i="85"/>
  <c r="V91" i="85"/>
  <c r="V92" i="85"/>
  <c r="V93" i="85"/>
  <c r="V94" i="85"/>
  <c r="V95" i="85"/>
  <c r="V86" i="85"/>
  <c r="T87" i="85"/>
  <c r="T88" i="85"/>
  <c r="T89" i="85"/>
  <c r="T90" i="85"/>
  <c r="T92" i="85"/>
  <c r="T93" i="85"/>
  <c r="T94" i="85"/>
  <c r="T95" i="85"/>
  <c r="T86" i="85"/>
  <c r="R87" i="85"/>
  <c r="R88" i="85"/>
  <c r="R89" i="85"/>
  <c r="R90" i="85"/>
  <c r="R91" i="85"/>
  <c r="R92" i="85"/>
  <c r="R93" i="85"/>
  <c r="R94" i="85"/>
  <c r="R95" i="85"/>
  <c r="P88" i="85"/>
  <c r="P89" i="85"/>
  <c r="P90" i="85"/>
  <c r="P91" i="85"/>
  <c r="P92" i="85"/>
  <c r="P93" i="85"/>
  <c r="P94" i="85"/>
  <c r="P95" i="85"/>
  <c r="N87" i="85"/>
  <c r="N88" i="85"/>
  <c r="N89" i="85"/>
  <c r="N90" i="85"/>
  <c r="N91" i="85"/>
  <c r="N92" i="85"/>
  <c r="N93" i="85"/>
  <c r="N94" i="85"/>
  <c r="N95" i="85"/>
  <c r="J87" i="85"/>
  <c r="J88" i="85"/>
  <c r="J89" i="85"/>
  <c r="J90" i="85"/>
  <c r="J91" i="85"/>
  <c r="J92" i="85"/>
  <c r="J93" i="85"/>
  <c r="J94" i="85"/>
  <c r="J95" i="85"/>
  <c r="H88" i="85" l="1"/>
  <c r="H92" i="85"/>
  <c r="N82" i="84"/>
  <c r="N83" i="84"/>
  <c r="N84" i="84"/>
  <c r="N85" i="84"/>
  <c r="O85" i="84" s="1"/>
  <c r="N86" i="84"/>
  <c r="N87" i="84"/>
  <c r="N88" i="84"/>
  <c r="N89" i="84"/>
  <c r="O89" i="84" s="1"/>
  <c r="N90" i="84"/>
  <c r="N91" i="84"/>
  <c r="N81" i="84"/>
  <c r="O82" i="84"/>
  <c r="O83" i="84"/>
  <c r="O84" i="84"/>
  <c r="O86" i="84"/>
  <c r="O87" i="84"/>
  <c r="O88" i="84"/>
  <c r="O90" i="84"/>
  <c r="O81" i="84"/>
  <c r="V98" i="85" l="1"/>
  <c r="V99" i="85"/>
  <c r="V100" i="85"/>
  <c r="V101" i="85"/>
  <c r="V102" i="85"/>
  <c r="V103" i="85"/>
  <c r="V104" i="85"/>
  <c r="V105" i="85"/>
  <c r="V97" i="85"/>
  <c r="M97" i="86"/>
  <c r="O102" i="85"/>
  <c r="O98" i="85"/>
  <c r="I102" i="85"/>
  <c r="W103" i="87"/>
  <c r="W100" i="87"/>
  <c r="W99" i="87"/>
  <c r="U71" i="85" l="1"/>
  <c r="U70" i="85"/>
  <c r="U69" i="85"/>
  <c r="U68" i="85"/>
  <c r="U67" i="85"/>
  <c r="U66" i="85"/>
  <c r="U65" i="85"/>
  <c r="U64" i="85"/>
  <c r="U63" i="85"/>
  <c r="U62" i="85"/>
  <c r="U61" i="85"/>
  <c r="L93" i="84"/>
  <c r="N102" i="84"/>
  <c r="O102" i="84"/>
  <c r="N92" i="84"/>
  <c r="L94" i="84"/>
  <c r="L95" i="84"/>
  <c r="L96" i="84"/>
  <c r="L97" i="84"/>
  <c r="L98" i="84"/>
  <c r="L99" i="84"/>
  <c r="L100" i="84"/>
  <c r="J92" i="84"/>
  <c r="J95" i="84"/>
  <c r="N94" i="84"/>
  <c r="L92" i="84" l="1"/>
  <c r="L73" i="84" l="1"/>
  <c r="H146" i="90" l="1"/>
  <c r="G138" i="90"/>
  <c r="F138" i="90"/>
  <c r="F17" i="90" s="1"/>
  <c r="E138" i="90"/>
  <c r="H137" i="90"/>
  <c r="H136" i="90"/>
  <c r="H135" i="90"/>
  <c r="H134" i="90"/>
  <c r="H133" i="90"/>
  <c r="H132" i="90"/>
  <c r="H131" i="90"/>
  <c r="H130" i="90"/>
  <c r="H129" i="90"/>
  <c r="H128" i="90"/>
  <c r="G127" i="90"/>
  <c r="G18" i="90" s="1"/>
  <c r="F127" i="90"/>
  <c r="E127" i="90"/>
  <c r="H126" i="90"/>
  <c r="H125" i="90"/>
  <c r="H124" i="90"/>
  <c r="H123" i="90"/>
  <c r="H122" i="90"/>
  <c r="H121" i="90"/>
  <c r="H120" i="90"/>
  <c r="H119" i="90"/>
  <c r="H118" i="90"/>
  <c r="H117" i="90"/>
  <c r="H116" i="90"/>
  <c r="G115" i="90"/>
  <c r="F115" i="90"/>
  <c r="F8" i="90" s="1"/>
  <c r="E115" i="90"/>
  <c r="H114" i="90"/>
  <c r="H113" i="90"/>
  <c r="H112" i="90"/>
  <c r="H111" i="90"/>
  <c r="H110" i="90"/>
  <c r="H109" i="90"/>
  <c r="H108" i="90"/>
  <c r="H107" i="90"/>
  <c r="H106" i="90"/>
  <c r="H105" i="90"/>
  <c r="H104" i="90"/>
  <c r="H103" i="90"/>
  <c r="H102" i="90"/>
  <c r="G101" i="90"/>
  <c r="G10" i="90" s="1"/>
  <c r="F101" i="90"/>
  <c r="F10" i="90" s="1"/>
  <c r="E101" i="90"/>
  <c r="H100" i="90"/>
  <c r="H99" i="90"/>
  <c r="H98" i="90"/>
  <c r="H97" i="90"/>
  <c r="H96" i="90"/>
  <c r="H95" i="90"/>
  <c r="H94" i="90"/>
  <c r="H93" i="90"/>
  <c r="H92" i="90"/>
  <c r="G91" i="90"/>
  <c r="G13" i="90" s="1"/>
  <c r="F91" i="90"/>
  <c r="F13" i="90" s="1"/>
  <c r="E91" i="90"/>
  <c r="H90" i="90"/>
  <c r="H89" i="90"/>
  <c r="H88" i="90"/>
  <c r="H87" i="90"/>
  <c r="H86" i="90"/>
  <c r="H85" i="90"/>
  <c r="H84" i="90"/>
  <c r="H83" i="90"/>
  <c r="H82" i="90"/>
  <c r="G81" i="90"/>
  <c r="F81" i="90"/>
  <c r="F11" i="90" s="1"/>
  <c r="E81" i="90"/>
  <c r="H80" i="90"/>
  <c r="H79" i="90"/>
  <c r="H78" i="90"/>
  <c r="H77" i="90"/>
  <c r="H76" i="90"/>
  <c r="H75" i="90"/>
  <c r="H74" i="90"/>
  <c r="H73" i="90"/>
  <c r="H72" i="90"/>
  <c r="H71" i="90"/>
  <c r="H70" i="90"/>
  <c r="H69" i="90"/>
  <c r="G68" i="90"/>
  <c r="G14" i="90" s="1"/>
  <c r="F68" i="90"/>
  <c r="F14" i="90" s="1"/>
  <c r="E68" i="90"/>
  <c r="H67" i="90"/>
  <c r="H66" i="90"/>
  <c r="H65" i="90"/>
  <c r="H64" i="90"/>
  <c r="H63" i="90"/>
  <c r="H62" i="90"/>
  <c r="H61" i="90"/>
  <c r="H60" i="90"/>
  <c r="H59" i="90"/>
  <c r="H58" i="90"/>
  <c r="H57" i="90"/>
  <c r="G56" i="90"/>
  <c r="G16" i="90" s="1"/>
  <c r="F56" i="90"/>
  <c r="F16" i="90" s="1"/>
  <c r="E56" i="90"/>
  <c r="H55" i="90"/>
  <c r="H54" i="90"/>
  <c r="H53" i="90"/>
  <c r="H52" i="90"/>
  <c r="H51" i="90"/>
  <c r="H50" i="90"/>
  <c r="H49" i="90"/>
  <c r="G48" i="90"/>
  <c r="G15" i="90" s="1"/>
  <c r="F48" i="90"/>
  <c r="F15" i="90" s="1"/>
  <c r="E48" i="90"/>
  <c r="H47" i="90"/>
  <c r="H46" i="90"/>
  <c r="H45" i="90"/>
  <c r="H44" i="90"/>
  <c r="H43" i="90"/>
  <c r="H42" i="90"/>
  <c r="G41" i="90"/>
  <c r="G12" i="90" s="1"/>
  <c r="F41" i="90"/>
  <c r="F12" i="90" s="1"/>
  <c r="E41" i="90"/>
  <c r="H36" i="90"/>
  <c r="G33" i="90"/>
  <c r="G9" i="90" s="1"/>
  <c r="F33" i="90"/>
  <c r="F9" i="90" s="1"/>
  <c r="E33" i="90"/>
  <c r="H32" i="90"/>
  <c r="H31" i="90"/>
  <c r="H30" i="90"/>
  <c r="H29" i="90"/>
  <c r="H28" i="90"/>
  <c r="H27" i="90"/>
  <c r="H26" i="90"/>
  <c r="H25" i="90"/>
  <c r="F18" i="90"/>
  <c r="E18" i="90"/>
  <c r="E17" i="90"/>
  <c r="E16" i="90"/>
  <c r="E15" i="90"/>
  <c r="E14" i="90"/>
  <c r="H13" i="90"/>
  <c r="E13" i="90"/>
  <c r="E12" i="90"/>
  <c r="E11" i="90"/>
  <c r="E10" i="90"/>
  <c r="E9" i="90"/>
  <c r="E8" i="90"/>
  <c r="H138" i="90" l="1"/>
  <c r="H17" i="90" s="1"/>
  <c r="H81" i="90"/>
  <c r="H11" i="90" s="1"/>
  <c r="H41" i="90"/>
  <c r="H12" i="90" s="1"/>
  <c r="H68" i="90"/>
  <c r="H14" i="90" s="1"/>
  <c r="H115" i="90"/>
  <c r="H8" i="90" s="1"/>
  <c r="E19" i="90"/>
  <c r="G11" i="90"/>
  <c r="H33" i="90"/>
  <c r="H9" i="90" s="1"/>
  <c r="G17" i="90"/>
  <c r="F19" i="90"/>
  <c r="H56" i="90"/>
  <c r="H16" i="90" s="1"/>
  <c r="G8" i="90"/>
  <c r="H48" i="90"/>
  <c r="H15" i="90" s="1"/>
  <c r="H101" i="90"/>
  <c r="H10" i="90" s="1"/>
  <c r="H127" i="90"/>
  <c r="H18" i="90" s="1"/>
  <c r="O38" i="84"/>
  <c r="G19" i="90" l="1"/>
  <c r="H19" i="90" s="1"/>
  <c r="S52" i="85" l="1"/>
  <c r="S17" i="85" s="1"/>
  <c r="Q52" i="85"/>
  <c r="Q17" i="85" s="1"/>
  <c r="F132" i="85" l="1"/>
  <c r="E132" i="85"/>
  <c r="H122" i="85"/>
  <c r="H123" i="85"/>
  <c r="H124" i="85"/>
  <c r="H125" i="85"/>
  <c r="H126" i="85"/>
  <c r="H127" i="85"/>
  <c r="H128" i="85"/>
  <c r="H129" i="85"/>
  <c r="H130" i="85"/>
  <c r="H131" i="85"/>
  <c r="H121" i="85"/>
  <c r="R129" i="86"/>
  <c r="T132" i="85" l="1"/>
  <c r="V132" i="85"/>
  <c r="E12" i="85" l="1"/>
  <c r="U106" i="85"/>
  <c r="U12" i="85" s="1"/>
  <c r="G37" i="85"/>
  <c r="Q96" i="85"/>
  <c r="Q15" i="85" s="1"/>
  <c r="O96" i="85"/>
  <c r="O15" i="85" s="1"/>
  <c r="M96" i="85"/>
  <c r="M15" i="85" s="1"/>
  <c r="K96" i="85"/>
  <c r="K15" i="85" s="1"/>
  <c r="E63" i="86" l="1"/>
  <c r="E48" i="86"/>
  <c r="E40" i="86"/>
  <c r="E12" i="86" s="1"/>
  <c r="N141" i="84"/>
  <c r="E91" i="84"/>
  <c r="E17" i="84" s="1"/>
  <c r="Q89" i="84"/>
  <c r="R89" i="84" s="1"/>
  <c r="G80" i="84"/>
  <c r="G16" i="84" s="1"/>
  <c r="K72" i="84"/>
  <c r="K15" i="84" s="1"/>
  <c r="F59" i="84"/>
  <c r="F14" i="84" s="1"/>
  <c r="F49" i="84"/>
  <c r="F13" i="84" s="1"/>
  <c r="E49" i="84"/>
  <c r="E13" i="84" s="1"/>
  <c r="J40" i="84"/>
  <c r="J12" i="84" s="1"/>
  <c r="N22" i="84" l="1"/>
  <c r="E19" i="86" l="1"/>
  <c r="E15" i="86"/>
  <c r="P146" i="86"/>
  <c r="P20" i="86" s="1"/>
  <c r="N146" i="86"/>
  <c r="N20" i="86" s="1"/>
  <c r="L146" i="86"/>
  <c r="L20" i="86" s="1"/>
  <c r="M33" i="86"/>
  <c r="M34" i="86"/>
  <c r="M35" i="86"/>
  <c r="M36" i="86"/>
  <c r="M37" i="86"/>
  <c r="M38" i="86"/>
  <c r="M39" i="86"/>
  <c r="M32" i="86"/>
  <c r="L40" i="86"/>
  <c r="K33" i="86"/>
  <c r="K34" i="86"/>
  <c r="K35" i="86"/>
  <c r="K36" i="86"/>
  <c r="K37" i="86"/>
  <c r="K38" i="86"/>
  <c r="K39" i="86"/>
  <c r="K32" i="86"/>
  <c r="R48" i="86"/>
  <c r="R15" i="86" s="1"/>
  <c r="P48" i="86"/>
  <c r="N48" i="86"/>
  <c r="N15" i="86" s="1"/>
  <c r="L48" i="86"/>
  <c r="R55" i="86"/>
  <c r="R18" i="86" s="1"/>
  <c r="P55" i="86"/>
  <c r="P18" i="86" s="1"/>
  <c r="N55" i="86"/>
  <c r="N18" i="86" s="1"/>
  <c r="L55" i="86"/>
  <c r="L18" i="86" s="1"/>
  <c r="P63" i="86"/>
  <c r="P19" i="86" s="1"/>
  <c r="Q57" i="86"/>
  <c r="Q58" i="86"/>
  <c r="Q59" i="86"/>
  <c r="Q60" i="86"/>
  <c r="Q61" i="86"/>
  <c r="Q62" i="86"/>
  <c r="Q56" i="86"/>
  <c r="O57" i="86"/>
  <c r="O58" i="86"/>
  <c r="O59" i="86"/>
  <c r="O60" i="86"/>
  <c r="O61" i="86"/>
  <c r="O62" i="86"/>
  <c r="M57" i="86"/>
  <c r="M58" i="86"/>
  <c r="M59" i="86"/>
  <c r="M60" i="86"/>
  <c r="M61" i="86"/>
  <c r="M62" i="86"/>
  <c r="N63" i="86"/>
  <c r="N19" i="86" s="1"/>
  <c r="L63" i="86"/>
  <c r="P75" i="86"/>
  <c r="P17" i="86" s="1"/>
  <c r="N75" i="86"/>
  <c r="N17" i="86" s="1"/>
  <c r="L75" i="86"/>
  <c r="L17" i="86" s="1"/>
  <c r="P88" i="86"/>
  <c r="P14" i="86" s="1"/>
  <c r="N88" i="86"/>
  <c r="N14" i="86" s="1"/>
  <c r="L88" i="86"/>
  <c r="L14" i="86" s="1"/>
  <c r="R77" i="86"/>
  <c r="R78" i="86"/>
  <c r="R79" i="86"/>
  <c r="R80" i="86"/>
  <c r="R81" i="86"/>
  <c r="R82" i="86"/>
  <c r="R83" i="86"/>
  <c r="R84" i="86"/>
  <c r="R85" i="86"/>
  <c r="R86" i="86"/>
  <c r="R87" i="86"/>
  <c r="R76" i="86"/>
  <c r="R88" i="86" s="1"/>
  <c r="R90" i="86"/>
  <c r="R91" i="86"/>
  <c r="R92" i="86"/>
  <c r="R93" i="86"/>
  <c r="R94" i="86"/>
  <c r="R95" i="86"/>
  <c r="R96" i="86"/>
  <c r="S96" i="86" s="1"/>
  <c r="R97" i="86"/>
  <c r="S97" i="86" s="1"/>
  <c r="R98" i="86"/>
  <c r="S98" i="86" s="1"/>
  <c r="R89" i="86"/>
  <c r="Q90" i="86"/>
  <c r="Q91" i="86"/>
  <c r="Q92" i="86"/>
  <c r="Q93" i="86"/>
  <c r="Q94" i="86"/>
  <c r="Q95" i="86"/>
  <c r="Q96" i="86"/>
  <c r="Q97" i="86"/>
  <c r="Q98" i="86"/>
  <c r="Q89" i="86"/>
  <c r="P99" i="86"/>
  <c r="P16" i="86" s="1"/>
  <c r="O89" i="86"/>
  <c r="O90" i="86"/>
  <c r="O91" i="86"/>
  <c r="O92" i="86"/>
  <c r="O93" i="86"/>
  <c r="O94" i="86"/>
  <c r="O95" i="86"/>
  <c r="O96" i="86"/>
  <c r="O97" i="86"/>
  <c r="O98" i="86"/>
  <c r="N99" i="86"/>
  <c r="N16" i="86" s="1"/>
  <c r="M90" i="86"/>
  <c r="M91" i="86"/>
  <c r="M92" i="86"/>
  <c r="M93" i="86"/>
  <c r="M94" i="86"/>
  <c r="M95" i="86"/>
  <c r="M96" i="86"/>
  <c r="M98" i="86"/>
  <c r="M89" i="86"/>
  <c r="L99" i="86"/>
  <c r="K90" i="86"/>
  <c r="K91" i="86"/>
  <c r="K92" i="86"/>
  <c r="K93" i="86"/>
  <c r="K94" i="86"/>
  <c r="K95" i="86"/>
  <c r="K96" i="86"/>
  <c r="K97" i="86"/>
  <c r="K98" i="86"/>
  <c r="K89" i="86"/>
  <c r="S105" i="86"/>
  <c r="S100" i="86"/>
  <c r="R101" i="86"/>
  <c r="S101" i="86" s="1"/>
  <c r="R102" i="86"/>
  <c r="S102" i="86" s="1"/>
  <c r="R103" i="86"/>
  <c r="S103" i="86" s="1"/>
  <c r="R104" i="86"/>
  <c r="S104" i="86" s="1"/>
  <c r="R105" i="86"/>
  <c r="R106" i="86"/>
  <c r="S106" i="86" s="1"/>
  <c r="R107" i="86"/>
  <c r="S107" i="86" s="1"/>
  <c r="R108" i="86"/>
  <c r="S108" i="86" s="1"/>
  <c r="R100" i="86"/>
  <c r="P109" i="86"/>
  <c r="P13" i="86" s="1"/>
  <c r="N109" i="86"/>
  <c r="L109" i="86"/>
  <c r="L13" i="86" s="1"/>
  <c r="K101" i="86"/>
  <c r="K102" i="86"/>
  <c r="K103" i="86"/>
  <c r="K104" i="86"/>
  <c r="K105" i="86"/>
  <c r="K106" i="86"/>
  <c r="K107" i="86"/>
  <c r="K108" i="86"/>
  <c r="K100" i="86"/>
  <c r="S129" i="86"/>
  <c r="S133" i="86"/>
  <c r="R125" i="86"/>
  <c r="S125" i="86" s="1"/>
  <c r="R126" i="86"/>
  <c r="S126" i="86" s="1"/>
  <c r="R127" i="86"/>
  <c r="S127" i="86" s="1"/>
  <c r="R128" i="86"/>
  <c r="S128" i="86" s="1"/>
  <c r="R130" i="86"/>
  <c r="S130" i="86" s="1"/>
  <c r="R131" i="86"/>
  <c r="S131" i="86" s="1"/>
  <c r="R132" i="86"/>
  <c r="S132" i="86" s="1"/>
  <c r="R133" i="86"/>
  <c r="R134" i="86"/>
  <c r="S134" i="86" s="1"/>
  <c r="R124" i="86"/>
  <c r="S124" i="86" s="1"/>
  <c r="P135" i="86"/>
  <c r="P21" i="86" s="1"/>
  <c r="N135" i="86"/>
  <c r="N21" i="86" s="1"/>
  <c r="L135" i="86"/>
  <c r="L21" i="86" s="1"/>
  <c r="J123" i="86"/>
  <c r="J11" i="86" s="1"/>
  <c r="F123" i="86"/>
  <c r="F11" i="86" s="1"/>
  <c r="G123" i="86"/>
  <c r="G11" i="86" s="1"/>
  <c r="H123" i="86"/>
  <c r="H11" i="86" s="1"/>
  <c r="L123" i="86"/>
  <c r="L11" i="86" s="1"/>
  <c r="N123" i="86"/>
  <c r="N11" i="86" s="1"/>
  <c r="P123" i="86"/>
  <c r="P11" i="86" s="1"/>
  <c r="R109" i="86" l="1"/>
  <c r="R13" i="86"/>
  <c r="R14" i="86"/>
  <c r="O123" i="86"/>
  <c r="O11" i="86" s="1"/>
  <c r="L19" i="86"/>
  <c r="Q123" i="86"/>
  <c r="Q11" i="86" s="1"/>
  <c r="R135" i="86"/>
  <c r="N13" i="86"/>
  <c r="P15" i="86"/>
  <c r="L15" i="86"/>
  <c r="L16" i="86"/>
  <c r="R99" i="86"/>
  <c r="R16" i="86" s="1"/>
  <c r="L12" i="86"/>
  <c r="M123" i="86"/>
  <c r="M11" i="86" s="1"/>
  <c r="T18" i="87"/>
  <c r="F142" i="87"/>
  <c r="H142" i="87"/>
  <c r="H18" i="87" s="1"/>
  <c r="I142" i="87"/>
  <c r="I18" i="87" s="1"/>
  <c r="K142" i="87"/>
  <c r="K18" i="87" s="1"/>
  <c r="L142" i="87"/>
  <c r="L18" i="87" s="1"/>
  <c r="N142" i="87"/>
  <c r="N18" i="87" s="1"/>
  <c r="O142" i="87"/>
  <c r="Q142" i="87"/>
  <c r="Q18" i="87" s="1"/>
  <c r="R142" i="87"/>
  <c r="R18" i="87" s="1"/>
  <c r="T142" i="87"/>
  <c r="U142" i="87"/>
  <c r="U18" i="87" s="1"/>
  <c r="W142" i="87"/>
  <c r="X142" i="87"/>
  <c r="E142" i="87"/>
  <c r="E18" i="87" s="1"/>
  <c r="X84" i="87"/>
  <c r="W84" i="87"/>
  <c r="W12" i="87" s="1"/>
  <c r="U84" i="87"/>
  <c r="U12" i="87" s="1"/>
  <c r="T84" i="87"/>
  <c r="T12" i="87" s="1"/>
  <c r="R84" i="87"/>
  <c r="R12" i="87" s="1"/>
  <c r="Q84" i="87"/>
  <c r="Q12" i="87" s="1"/>
  <c r="O84" i="87"/>
  <c r="O12" i="87" s="1"/>
  <c r="N84" i="87"/>
  <c r="N12" i="87" s="1"/>
  <c r="L84" i="87"/>
  <c r="K84" i="87"/>
  <c r="K12" i="87" s="1"/>
  <c r="Y83" i="87"/>
  <c r="V83" i="87"/>
  <c r="S83" i="87"/>
  <c r="P83" i="87"/>
  <c r="M83" i="87"/>
  <c r="J83" i="87"/>
  <c r="G83" i="87"/>
  <c r="Y82" i="87"/>
  <c r="V82" i="87"/>
  <c r="S82" i="87"/>
  <c r="P82" i="87"/>
  <c r="M82" i="87"/>
  <c r="J82" i="87"/>
  <c r="G82" i="87"/>
  <c r="Y81" i="87"/>
  <c r="V81" i="87"/>
  <c r="S81" i="87"/>
  <c r="P81" i="87"/>
  <c r="M81" i="87"/>
  <c r="J81" i="87"/>
  <c r="G81" i="87"/>
  <c r="Y80" i="87"/>
  <c r="V80" i="87"/>
  <c r="S80" i="87"/>
  <c r="P80" i="87"/>
  <c r="M80" i="87"/>
  <c r="J80" i="87"/>
  <c r="G80" i="87"/>
  <c r="Y79" i="87"/>
  <c r="V79" i="87"/>
  <c r="S79" i="87"/>
  <c r="P79" i="87"/>
  <c r="M79" i="87"/>
  <c r="J79" i="87"/>
  <c r="G79" i="87"/>
  <c r="Y78" i="87"/>
  <c r="V78" i="87"/>
  <c r="S78" i="87"/>
  <c r="P78" i="87"/>
  <c r="M78" i="87"/>
  <c r="J78" i="87"/>
  <c r="G78" i="87"/>
  <c r="Y77" i="87"/>
  <c r="V77" i="87"/>
  <c r="S77" i="87"/>
  <c r="P77" i="87"/>
  <c r="M77" i="87"/>
  <c r="J77" i="87"/>
  <c r="G77" i="87"/>
  <c r="Y76" i="87"/>
  <c r="V76" i="87"/>
  <c r="S76" i="87"/>
  <c r="P76" i="87"/>
  <c r="M76" i="87"/>
  <c r="J76" i="87"/>
  <c r="G76" i="87"/>
  <c r="Y75" i="87"/>
  <c r="V75" i="87"/>
  <c r="S75" i="87"/>
  <c r="P75" i="87"/>
  <c r="M75" i="87"/>
  <c r="J75" i="87"/>
  <c r="G75" i="87"/>
  <c r="Y74" i="87"/>
  <c r="V74" i="87"/>
  <c r="S74" i="87"/>
  <c r="P74" i="87"/>
  <c r="M74" i="87"/>
  <c r="J74" i="87"/>
  <c r="G74" i="87"/>
  <c r="Y73" i="87"/>
  <c r="V73" i="87"/>
  <c r="S73" i="87"/>
  <c r="P73" i="87"/>
  <c r="M73" i="87"/>
  <c r="J73" i="87"/>
  <c r="G73" i="87"/>
  <c r="Y72" i="87"/>
  <c r="V72" i="87"/>
  <c r="S72" i="87"/>
  <c r="P72" i="87"/>
  <c r="J72" i="87"/>
  <c r="G72" i="87"/>
  <c r="S84" i="87" l="1"/>
  <c r="S12" i="87" s="1"/>
  <c r="G142" i="87"/>
  <c r="G18" i="87" s="1"/>
  <c r="Y84" i="87"/>
  <c r="Y12" i="87" s="1"/>
  <c r="X18" i="87"/>
  <c r="Y142" i="87"/>
  <c r="W18" i="87"/>
  <c r="W104" i="87"/>
  <c r="W105" i="87" s="1"/>
  <c r="V84" i="87"/>
  <c r="V12" i="87" s="1"/>
  <c r="M84" i="87"/>
  <c r="M12" i="87" s="1"/>
  <c r="Y18" i="87"/>
  <c r="F18" i="87"/>
  <c r="P84" i="87"/>
  <c r="P12" i="87" s="1"/>
  <c r="J142" i="87"/>
  <c r="J18" i="87" s="1"/>
  <c r="X12" i="87"/>
  <c r="L12" i="87"/>
  <c r="O18" i="87"/>
  <c r="P142" i="87"/>
  <c r="M142" i="87"/>
  <c r="M18" i="87" s="1"/>
  <c r="R21" i="86"/>
  <c r="V142" i="87"/>
  <c r="V18" i="87" s="1"/>
  <c r="S142" i="87"/>
  <c r="S18" i="87" s="1"/>
  <c r="X95" i="87"/>
  <c r="W95" i="87"/>
  <c r="W14" i="87" s="1"/>
  <c r="U95" i="87"/>
  <c r="T95" i="87"/>
  <c r="T14" i="87" s="1"/>
  <c r="R95" i="87"/>
  <c r="Q95" i="87"/>
  <c r="Q14" i="87" s="1"/>
  <c r="O95" i="87"/>
  <c r="O14" i="87" s="1"/>
  <c r="N95" i="87"/>
  <c r="N14" i="87" s="1"/>
  <c r="L95" i="87"/>
  <c r="L14" i="87" s="1"/>
  <c r="K95" i="87"/>
  <c r="K14" i="87" s="1"/>
  <c r="I95" i="87"/>
  <c r="I14" i="87" s="1"/>
  <c r="H95" i="87"/>
  <c r="H14" i="87" s="1"/>
  <c r="I105" i="87"/>
  <c r="H105" i="87"/>
  <c r="E105" i="87"/>
  <c r="L105" i="87"/>
  <c r="K105" i="87"/>
  <c r="O105" i="87"/>
  <c r="N105" i="87"/>
  <c r="R105" i="87"/>
  <c r="R11" i="87" s="1"/>
  <c r="Q105" i="87"/>
  <c r="U105" i="87"/>
  <c r="T105" i="87"/>
  <c r="X105" i="87"/>
  <c r="P105" i="87"/>
  <c r="J84" i="87"/>
  <c r="J12" i="87" s="1"/>
  <c r="J105" i="87" l="1"/>
  <c r="U14" i="87"/>
  <c r="V95" i="87"/>
  <c r="J95" i="87"/>
  <c r="J14" i="87" s="1"/>
  <c r="M105" i="87"/>
  <c r="M11" i="87" s="1"/>
  <c r="R14" i="87"/>
  <c r="S95" i="87"/>
  <c r="Y105" i="87"/>
  <c r="Y11" i="87" s="1"/>
  <c r="V14" i="87"/>
  <c r="M95" i="87"/>
  <c r="M14" i="87" s="1"/>
  <c r="V105" i="87"/>
  <c r="V11" i="87" s="1"/>
  <c r="S14" i="87"/>
  <c r="P95" i="87"/>
  <c r="P14" i="87" s="1"/>
  <c r="X14" i="87"/>
  <c r="Y95" i="87"/>
  <c r="Y14" i="87" s="1"/>
  <c r="S105" i="87"/>
  <c r="I71" i="87"/>
  <c r="I15" i="87" s="1"/>
  <c r="L71" i="87"/>
  <c r="L15" i="87" s="1"/>
  <c r="K71" i="87"/>
  <c r="K15" i="87" s="1"/>
  <c r="O71" i="87"/>
  <c r="O15" i="87" s="1"/>
  <c r="N71" i="87"/>
  <c r="R71" i="87"/>
  <c r="R15" i="87" s="1"/>
  <c r="Q71" i="87"/>
  <c r="Q15" i="87" s="1"/>
  <c r="U71" i="87"/>
  <c r="U15" i="87" s="1"/>
  <c r="T71" i="87"/>
  <c r="T15" i="87" s="1"/>
  <c r="X71" i="87"/>
  <c r="X15" i="87" s="1"/>
  <c r="W71" i="87"/>
  <c r="W15" i="87" s="1"/>
  <c r="F59" i="87"/>
  <c r="H59" i="87"/>
  <c r="H17" i="87" s="1"/>
  <c r="I59" i="87"/>
  <c r="I17" i="87" s="1"/>
  <c r="K59" i="87"/>
  <c r="K17" i="87" s="1"/>
  <c r="L59" i="87"/>
  <c r="L17" i="87" s="1"/>
  <c r="N59" i="87"/>
  <c r="N17" i="87" s="1"/>
  <c r="O59" i="87"/>
  <c r="O17" i="87" s="1"/>
  <c r="Q59" i="87"/>
  <c r="Q17" i="87" s="1"/>
  <c r="R59" i="87"/>
  <c r="R17" i="87" s="1"/>
  <c r="T59" i="87"/>
  <c r="T17" i="87" s="1"/>
  <c r="U59" i="87"/>
  <c r="U17" i="87" s="1"/>
  <c r="W59" i="87"/>
  <c r="W17" i="87" s="1"/>
  <c r="X59" i="87"/>
  <c r="K51" i="87"/>
  <c r="K16" i="87" s="1"/>
  <c r="F51" i="87"/>
  <c r="H51" i="87"/>
  <c r="H16" i="87" s="1"/>
  <c r="I51" i="87"/>
  <c r="I16" i="87" s="1"/>
  <c r="L51" i="87"/>
  <c r="L16" i="87" s="1"/>
  <c r="N51" i="87"/>
  <c r="N16" i="87" s="1"/>
  <c r="O51" i="87"/>
  <c r="Q51" i="87"/>
  <c r="Q16" i="87" s="1"/>
  <c r="R51" i="87"/>
  <c r="R16" i="87" s="1"/>
  <c r="T51" i="87"/>
  <c r="T16" i="87" s="1"/>
  <c r="U51" i="87"/>
  <c r="U16" i="87" s="1"/>
  <c r="W51" i="87"/>
  <c r="W16" i="87" s="1"/>
  <c r="X51" i="87"/>
  <c r="X16" i="87" s="1"/>
  <c r="E51" i="87"/>
  <c r="E16" i="87" s="1"/>
  <c r="F44" i="87"/>
  <c r="F13" i="87" s="1"/>
  <c r="H44" i="87"/>
  <c r="H13" i="87" s="1"/>
  <c r="I44" i="87"/>
  <c r="I13" i="87" s="1"/>
  <c r="K44" i="87"/>
  <c r="K13" i="87" s="1"/>
  <c r="L44" i="87"/>
  <c r="L13" i="87" s="1"/>
  <c r="N44" i="87"/>
  <c r="N13" i="87" s="1"/>
  <c r="O44" i="87"/>
  <c r="O13" i="87" s="1"/>
  <c r="Q44" i="87"/>
  <c r="Q13" i="87" s="1"/>
  <c r="R44" i="87"/>
  <c r="R13" i="87" s="1"/>
  <c r="T44" i="87"/>
  <c r="T13" i="87" s="1"/>
  <c r="U44" i="87"/>
  <c r="U13" i="87" s="1"/>
  <c r="W44" i="87"/>
  <c r="W13" i="87" s="1"/>
  <c r="X44" i="87"/>
  <c r="X13" i="87" s="1"/>
  <c r="E44" i="87"/>
  <c r="E13" i="87" s="1"/>
  <c r="H11" i="87"/>
  <c r="I11" i="87"/>
  <c r="J11" i="87"/>
  <c r="K11" i="87"/>
  <c r="L11" i="87"/>
  <c r="N11" i="87"/>
  <c r="O11" i="87"/>
  <c r="P11" i="87"/>
  <c r="Q11" i="87"/>
  <c r="S11" i="87"/>
  <c r="T11" i="87"/>
  <c r="U11" i="87"/>
  <c r="W11" i="87"/>
  <c r="X11" i="87"/>
  <c r="E11" i="87"/>
  <c r="O16" i="87" l="1"/>
  <c r="P51" i="87"/>
  <c r="G44" i="87"/>
  <c r="G13" i="87" s="1"/>
  <c r="F17" i="87"/>
  <c r="M71" i="87"/>
  <c r="M15" i="87" s="1"/>
  <c r="V71" i="87"/>
  <c r="V15" i="87" s="1"/>
  <c r="F16" i="87"/>
  <c r="G51" i="87"/>
  <c r="G16" i="87"/>
  <c r="S44" i="87"/>
  <c r="S13" i="87" s="1"/>
  <c r="J44" i="87"/>
  <c r="J13" i="87" s="1"/>
  <c r="V44" i="87"/>
  <c r="V13" i="87" s="1"/>
  <c r="M51" i="87"/>
  <c r="M16" i="87" s="1"/>
  <c r="V59" i="87"/>
  <c r="V17" i="87" s="1"/>
  <c r="J59" i="87"/>
  <c r="J17" i="87" s="1"/>
  <c r="S71" i="87"/>
  <c r="S15" i="87" s="1"/>
  <c r="Y44" i="87"/>
  <c r="Y13" i="87" s="1"/>
  <c r="P16" i="87"/>
  <c r="M59" i="87"/>
  <c r="M17" i="87" s="1"/>
  <c r="V51" i="87"/>
  <c r="V16" i="87" s="1"/>
  <c r="P71" i="87"/>
  <c r="P15" i="87" s="1"/>
  <c r="N15" i="87"/>
  <c r="X17" i="87"/>
  <c r="Y59" i="87"/>
  <c r="S59" i="87"/>
  <c r="S17" i="87" s="1"/>
  <c r="P44" i="87"/>
  <c r="P13" i="87" s="1"/>
  <c r="M44" i="87"/>
  <c r="M13" i="87" s="1"/>
  <c r="J51" i="87"/>
  <c r="J16" i="87" s="1"/>
  <c r="S51" i="87"/>
  <c r="S16" i="87" s="1"/>
  <c r="P59" i="87"/>
  <c r="P17" i="87" s="1"/>
  <c r="Y51" i="87"/>
  <c r="Y16" i="87" s="1"/>
  <c r="Y71" i="87"/>
  <c r="Y15" i="87" s="1"/>
  <c r="F131" i="87"/>
  <c r="H131" i="87"/>
  <c r="H19" i="87" s="1"/>
  <c r="I131" i="87"/>
  <c r="K131" i="87"/>
  <c r="K19" i="87" s="1"/>
  <c r="L131" i="87"/>
  <c r="N131" i="87"/>
  <c r="N19" i="87" s="1"/>
  <c r="O131" i="87"/>
  <c r="Q131" i="87"/>
  <c r="Q19" i="87" s="1"/>
  <c r="R131" i="87"/>
  <c r="T131" i="87"/>
  <c r="T19" i="87" s="1"/>
  <c r="U131" i="87"/>
  <c r="W131" i="87"/>
  <c r="W19" i="87" s="1"/>
  <c r="X131" i="87"/>
  <c r="Y131" i="87" s="1"/>
  <c r="E131" i="87"/>
  <c r="E19" i="87" s="1"/>
  <c r="U19" i="87" l="1"/>
  <c r="V131" i="87"/>
  <c r="V19" i="87" s="1"/>
  <c r="O19" i="87"/>
  <c r="P131" i="87"/>
  <c r="P19" i="87" s="1"/>
  <c r="I19" i="87"/>
  <c r="J131" i="87"/>
  <c r="J19" i="87" s="1"/>
  <c r="X19" i="87"/>
  <c r="Y19" i="87"/>
  <c r="R19" i="87"/>
  <c r="S131" i="87"/>
  <c r="S19" i="87" s="1"/>
  <c r="L19" i="87"/>
  <c r="M131" i="87"/>
  <c r="M19" i="87" s="1"/>
  <c r="F19" i="87"/>
  <c r="G131" i="87"/>
  <c r="G19" i="87" s="1"/>
  <c r="F119" i="87"/>
  <c r="H119" i="87"/>
  <c r="H9" i="87" s="1"/>
  <c r="I119" i="87"/>
  <c r="K119" i="87"/>
  <c r="K9" i="87" s="1"/>
  <c r="L119" i="87"/>
  <c r="N119" i="87"/>
  <c r="O119" i="87"/>
  <c r="O9" i="87" s="1"/>
  <c r="Q119" i="87"/>
  <c r="Q9" i="87" s="1"/>
  <c r="R119" i="87"/>
  <c r="T119" i="87"/>
  <c r="T9" i="87" s="1"/>
  <c r="U119" i="87"/>
  <c r="W119" i="87"/>
  <c r="W9" i="87" s="1"/>
  <c r="X119" i="87"/>
  <c r="E119" i="87"/>
  <c r="E9" i="87" s="1"/>
  <c r="Y118" i="87"/>
  <c r="V118" i="87"/>
  <c r="S118" i="87"/>
  <c r="P118" i="87"/>
  <c r="M118" i="87"/>
  <c r="J118" i="87"/>
  <c r="G118" i="87"/>
  <c r="Y117" i="87"/>
  <c r="V117" i="87"/>
  <c r="S117" i="87"/>
  <c r="P117" i="87"/>
  <c r="M117" i="87"/>
  <c r="J117" i="87"/>
  <c r="G117" i="87"/>
  <c r="Y116" i="87"/>
  <c r="V116" i="87"/>
  <c r="S116" i="87"/>
  <c r="P116" i="87"/>
  <c r="M116" i="87"/>
  <c r="J116" i="87"/>
  <c r="G116" i="87"/>
  <c r="Y115" i="87"/>
  <c r="V115" i="87"/>
  <c r="S115" i="87"/>
  <c r="P115" i="87"/>
  <c r="M115" i="87"/>
  <c r="J115" i="87"/>
  <c r="G115" i="87"/>
  <c r="Y114" i="87"/>
  <c r="V114" i="87"/>
  <c r="S114" i="87"/>
  <c r="P114" i="87"/>
  <c r="M114" i="87"/>
  <c r="J114" i="87"/>
  <c r="G114" i="87"/>
  <c r="Y113" i="87"/>
  <c r="V113" i="87"/>
  <c r="S113" i="87"/>
  <c r="P113" i="87"/>
  <c r="M113" i="87"/>
  <c r="J113" i="87"/>
  <c r="G113" i="87"/>
  <c r="Y112" i="87"/>
  <c r="V112" i="87"/>
  <c r="S112" i="87"/>
  <c r="P112" i="87"/>
  <c r="M112" i="87"/>
  <c r="J112" i="87"/>
  <c r="G112" i="87"/>
  <c r="Y111" i="87"/>
  <c r="V111" i="87"/>
  <c r="S111" i="87"/>
  <c r="P111" i="87"/>
  <c r="M111" i="87"/>
  <c r="J111" i="87"/>
  <c r="Y110" i="87"/>
  <c r="V110" i="87"/>
  <c r="S110" i="87"/>
  <c r="P110" i="87"/>
  <c r="M110" i="87"/>
  <c r="J110" i="87"/>
  <c r="G110" i="87"/>
  <c r="Y109" i="87"/>
  <c r="V109" i="87"/>
  <c r="S109" i="87"/>
  <c r="P109" i="87"/>
  <c r="M109" i="87"/>
  <c r="J109" i="87"/>
  <c r="G109" i="87"/>
  <c r="Y108" i="87"/>
  <c r="V108" i="87"/>
  <c r="S108" i="87"/>
  <c r="P108" i="87"/>
  <c r="M108" i="87"/>
  <c r="J108" i="87"/>
  <c r="Y107" i="87"/>
  <c r="V107" i="87"/>
  <c r="S107" i="87"/>
  <c r="P107" i="87"/>
  <c r="M107" i="87"/>
  <c r="J107" i="87"/>
  <c r="G107" i="87"/>
  <c r="Y106" i="87"/>
  <c r="V106" i="87"/>
  <c r="S106" i="87"/>
  <c r="P106" i="87"/>
  <c r="M106" i="87"/>
  <c r="J106" i="87"/>
  <c r="G106" i="87"/>
  <c r="F95" i="87"/>
  <c r="F105" i="87"/>
  <c r="E95" i="87"/>
  <c r="E14" i="87" s="1"/>
  <c r="F84" i="87"/>
  <c r="H84" i="87"/>
  <c r="H12" i="87" s="1"/>
  <c r="I84" i="87"/>
  <c r="I12" i="87" s="1"/>
  <c r="E84" i="87"/>
  <c r="E12" i="87" s="1"/>
  <c r="H71" i="87"/>
  <c r="E71" i="87"/>
  <c r="E15" i="87" s="1"/>
  <c r="E59" i="87"/>
  <c r="G59" i="87" s="1"/>
  <c r="V70" i="87"/>
  <c r="F70" i="87"/>
  <c r="V69" i="87"/>
  <c r="F69" i="87"/>
  <c r="V68" i="87"/>
  <c r="P68" i="87"/>
  <c r="F68" i="87"/>
  <c r="P67" i="87"/>
  <c r="F67" i="87"/>
  <c r="V66" i="87"/>
  <c r="F66" i="87"/>
  <c r="V65" i="87"/>
  <c r="P65" i="87"/>
  <c r="F65" i="87"/>
  <c r="V64" i="87"/>
  <c r="F64" i="87"/>
  <c r="V63" i="87"/>
  <c r="P63" i="87"/>
  <c r="F63" i="87"/>
  <c r="G63" i="87" s="1"/>
  <c r="V62" i="87"/>
  <c r="P62" i="87"/>
  <c r="F62" i="87"/>
  <c r="V61" i="87"/>
  <c r="S61" i="87"/>
  <c r="P61" i="87"/>
  <c r="F61" i="87"/>
  <c r="V60" i="87"/>
  <c r="S60" i="87"/>
  <c r="P60" i="87"/>
  <c r="F60" i="87"/>
  <c r="G60" i="87" s="1"/>
  <c r="Y58" i="87"/>
  <c r="Y57" i="87"/>
  <c r="V57" i="87"/>
  <c r="Y56" i="87"/>
  <c r="V56" i="87"/>
  <c r="P56" i="87"/>
  <c r="Y55" i="87"/>
  <c r="V55" i="87"/>
  <c r="P55" i="87"/>
  <c r="V54" i="87"/>
  <c r="P54" i="87"/>
  <c r="V53" i="87"/>
  <c r="P53" i="87"/>
  <c r="Y52" i="87"/>
  <c r="Y17" i="87" s="1"/>
  <c r="V52" i="87"/>
  <c r="P52" i="87"/>
  <c r="Y43" i="87"/>
  <c r="V43" i="87"/>
  <c r="S43" i="87"/>
  <c r="P43" i="87"/>
  <c r="M43" i="87"/>
  <c r="J43" i="87"/>
  <c r="G43" i="87"/>
  <c r="Y42" i="87"/>
  <c r="V42" i="87"/>
  <c r="S42" i="87"/>
  <c r="P42" i="87"/>
  <c r="M42" i="87"/>
  <c r="J42" i="87"/>
  <c r="G42" i="87"/>
  <c r="Y41" i="87"/>
  <c r="V41" i="87"/>
  <c r="S41" i="87"/>
  <c r="P41" i="87"/>
  <c r="M41" i="87"/>
  <c r="J41" i="87"/>
  <c r="G41" i="87"/>
  <c r="Y40" i="87"/>
  <c r="V40" i="87"/>
  <c r="S40" i="87"/>
  <c r="P40" i="87"/>
  <c r="M40" i="87"/>
  <c r="J40" i="87"/>
  <c r="G40" i="87"/>
  <c r="Y39" i="87"/>
  <c r="V39" i="87"/>
  <c r="S39" i="87"/>
  <c r="P39" i="87"/>
  <c r="M39" i="87"/>
  <c r="J39" i="87"/>
  <c r="G39" i="87"/>
  <c r="Y38" i="87"/>
  <c r="V38" i="87"/>
  <c r="S38" i="87"/>
  <c r="P38" i="87"/>
  <c r="M38" i="87"/>
  <c r="J38" i="87"/>
  <c r="G38" i="87"/>
  <c r="Y37" i="87"/>
  <c r="V37" i="87"/>
  <c r="S37" i="87"/>
  <c r="P37" i="87"/>
  <c r="M37" i="87"/>
  <c r="J37" i="87"/>
  <c r="G37" i="87"/>
  <c r="S122" i="86"/>
  <c r="S121" i="86"/>
  <c r="S120" i="86"/>
  <c r="S119" i="86"/>
  <c r="S118" i="86"/>
  <c r="S117" i="86"/>
  <c r="R116" i="86"/>
  <c r="R115" i="86"/>
  <c r="R114" i="86"/>
  <c r="S113" i="86"/>
  <c r="R112" i="86"/>
  <c r="S112" i="86" s="1"/>
  <c r="R111" i="86"/>
  <c r="R110" i="86"/>
  <c r="I95" i="86"/>
  <c r="S95" i="86" s="1"/>
  <c r="I94" i="86"/>
  <c r="S94" i="86" s="1"/>
  <c r="I93" i="86"/>
  <c r="S93" i="86" s="1"/>
  <c r="I92" i="86"/>
  <c r="S92" i="86" s="1"/>
  <c r="I91" i="86"/>
  <c r="S91" i="86" s="1"/>
  <c r="I90" i="86"/>
  <c r="S90" i="86" s="1"/>
  <c r="I89" i="86"/>
  <c r="Q87" i="86"/>
  <c r="O87" i="86"/>
  <c r="M87" i="86"/>
  <c r="K87" i="86"/>
  <c r="I87" i="86"/>
  <c r="S87" i="86" s="1"/>
  <c r="Q86" i="86"/>
  <c r="O86" i="86"/>
  <c r="M86" i="86"/>
  <c r="K86" i="86"/>
  <c r="I86" i="86"/>
  <c r="S86" i="86" s="1"/>
  <c r="Q85" i="86"/>
  <c r="O85" i="86"/>
  <c r="M85" i="86"/>
  <c r="K85" i="86"/>
  <c r="I85" i="86"/>
  <c r="S85" i="86" s="1"/>
  <c r="Q84" i="86"/>
  <c r="O84" i="86"/>
  <c r="M84" i="86"/>
  <c r="K84" i="86"/>
  <c r="I84" i="86"/>
  <c r="S84" i="86" s="1"/>
  <c r="Q83" i="86"/>
  <c r="O83" i="86"/>
  <c r="M83" i="86"/>
  <c r="K83" i="86"/>
  <c r="I83" i="86"/>
  <c r="S83" i="86" s="1"/>
  <c r="Q82" i="86"/>
  <c r="O82" i="86"/>
  <c r="M82" i="86"/>
  <c r="K82" i="86"/>
  <c r="I82" i="86"/>
  <c r="S82" i="86" s="1"/>
  <c r="Q81" i="86"/>
  <c r="O81" i="86"/>
  <c r="M81" i="86"/>
  <c r="K81" i="86"/>
  <c r="I81" i="86"/>
  <c r="S81" i="86" s="1"/>
  <c r="Q80" i="86"/>
  <c r="O80" i="86"/>
  <c r="M80" i="86"/>
  <c r="K80" i="86"/>
  <c r="I80" i="86"/>
  <c r="S80" i="86" s="1"/>
  <c r="Q79" i="86"/>
  <c r="O79" i="86"/>
  <c r="M79" i="86"/>
  <c r="K79" i="86"/>
  <c r="I79" i="86"/>
  <c r="S79" i="86" s="1"/>
  <c r="Q78" i="86"/>
  <c r="O78" i="86"/>
  <c r="M78" i="86"/>
  <c r="K78" i="86"/>
  <c r="I78" i="86"/>
  <c r="S78" i="86" s="1"/>
  <c r="Q77" i="86"/>
  <c r="O77" i="86"/>
  <c r="M77" i="86"/>
  <c r="K77" i="86"/>
  <c r="I77" i="86"/>
  <c r="S77" i="86" s="1"/>
  <c r="Q76" i="86"/>
  <c r="O76" i="86"/>
  <c r="M76" i="86"/>
  <c r="K76" i="86"/>
  <c r="I76" i="86"/>
  <c r="S76" i="86" s="1"/>
  <c r="R74" i="86"/>
  <c r="I74" i="86"/>
  <c r="R73" i="86"/>
  <c r="K73" i="86"/>
  <c r="K74" i="86" s="1"/>
  <c r="I73" i="86"/>
  <c r="R72" i="86"/>
  <c r="K72" i="86"/>
  <c r="I72" i="86"/>
  <c r="R71" i="86"/>
  <c r="K71" i="86"/>
  <c r="I71" i="86"/>
  <c r="R70" i="86"/>
  <c r="K70" i="86"/>
  <c r="I70" i="86"/>
  <c r="R69" i="86"/>
  <c r="K69" i="86"/>
  <c r="I69" i="86"/>
  <c r="R68" i="86"/>
  <c r="K68" i="86"/>
  <c r="I68" i="86"/>
  <c r="R67" i="86"/>
  <c r="K67" i="86"/>
  <c r="I67" i="86"/>
  <c r="R66" i="86"/>
  <c r="K66" i="86"/>
  <c r="I66" i="86"/>
  <c r="R65" i="86"/>
  <c r="M65" i="86"/>
  <c r="K65" i="86"/>
  <c r="I65" i="86"/>
  <c r="R64" i="86"/>
  <c r="Q64" i="86"/>
  <c r="O64" i="86"/>
  <c r="M64" i="86"/>
  <c r="J64" i="86"/>
  <c r="K64" i="86" s="1"/>
  <c r="I64" i="86"/>
  <c r="R62" i="86"/>
  <c r="K62" i="86"/>
  <c r="I62" i="86"/>
  <c r="R61" i="86"/>
  <c r="K61" i="86"/>
  <c r="I61" i="86"/>
  <c r="R60" i="86"/>
  <c r="K60" i="86"/>
  <c r="I60" i="86"/>
  <c r="R59" i="86"/>
  <c r="K59" i="86"/>
  <c r="I59" i="86"/>
  <c r="R58" i="86"/>
  <c r="K58" i="86"/>
  <c r="I58" i="86"/>
  <c r="R57" i="86"/>
  <c r="K57" i="86"/>
  <c r="S57" i="86" s="1"/>
  <c r="I57" i="86"/>
  <c r="R56" i="86"/>
  <c r="O56" i="86"/>
  <c r="M56" i="86"/>
  <c r="K56" i="86"/>
  <c r="Q47" i="86"/>
  <c r="O47" i="86"/>
  <c r="M47" i="86"/>
  <c r="K47" i="86"/>
  <c r="I47" i="86"/>
  <c r="S47" i="86" s="1"/>
  <c r="Q46" i="86"/>
  <c r="O46" i="86"/>
  <c r="M46" i="86"/>
  <c r="K46" i="86"/>
  <c r="I46" i="86"/>
  <c r="S46" i="86" s="1"/>
  <c r="Q45" i="86"/>
  <c r="O45" i="86"/>
  <c r="M45" i="86"/>
  <c r="K45" i="86"/>
  <c r="I45" i="86"/>
  <c r="S45" i="86" s="1"/>
  <c r="Q44" i="86"/>
  <c r="O44" i="86"/>
  <c r="M44" i="86"/>
  <c r="K44" i="86"/>
  <c r="I44" i="86"/>
  <c r="S44" i="86" s="1"/>
  <c r="Q43" i="86"/>
  <c r="O43" i="86"/>
  <c r="M43" i="86"/>
  <c r="K43" i="86"/>
  <c r="I43" i="86"/>
  <c r="S43" i="86" s="1"/>
  <c r="Q42" i="86"/>
  <c r="O42" i="86"/>
  <c r="M42" i="86"/>
  <c r="K42" i="86"/>
  <c r="I42" i="86"/>
  <c r="S42" i="86" s="1"/>
  <c r="Q41" i="86"/>
  <c r="O41" i="86"/>
  <c r="M41" i="86"/>
  <c r="K41" i="86"/>
  <c r="I41" i="86"/>
  <c r="S41" i="86" s="1"/>
  <c r="P40" i="86"/>
  <c r="N40" i="86"/>
  <c r="I39" i="86"/>
  <c r="I38" i="86"/>
  <c r="I37" i="86"/>
  <c r="I36" i="86"/>
  <c r="I35" i="86"/>
  <c r="I34" i="86"/>
  <c r="I33" i="86"/>
  <c r="I32" i="86"/>
  <c r="G120" i="85"/>
  <c r="E120" i="85"/>
  <c r="R120" i="85" s="1"/>
  <c r="R119" i="85"/>
  <c r="P119" i="85"/>
  <c r="N119" i="85"/>
  <c r="L119" i="85"/>
  <c r="J119" i="85"/>
  <c r="H119" i="85"/>
  <c r="R118" i="85"/>
  <c r="P118" i="85"/>
  <c r="N118" i="85"/>
  <c r="L118" i="85"/>
  <c r="J118" i="85"/>
  <c r="H118" i="85"/>
  <c r="R117" i="85"/>
  <c r="P117" i="85"/>
  <c r="N117" i="85"/>
  <c r="L117" i="85"/>
  <c r="J117" i="85"/>
  <c r="H117" i="85"/>
  <c r="R116" i="85"/>
  <c r="P116" i="85"/>
  <c r="N116" i="85"/>
  <c r="L116" i="85"/>
  <c r="J116" i="85"/>
  <c r="H116" i="85"/>
  <c r="R115" i="85"/>
  <c r="P115" i="85"/>
  <c r="N115" i="85"/>
  <c r="L115" i="85"/>
  <c r="J115" i="85"/>
  <c r="H115" i="85"/>
  <c r="R114" i="85"/>
  <c r="P114" i="85"/>
  <c r="N114" i="85"/>
  <c r="L114" i="85"/>
  <c r="J114" i="85"/>
  <c r="H114" i="85"/>
  <c r="R113" i="85"/>
  <c r="P113" i="85"/>
  <c r="N113" i="85"/>
  <c r="L113" i="85"/>
  <c r="J113" i="85"/>
  <c r="H113" i="85"/>
  <c r="R112" i="85"/>
  <c r="P112" i="85"/>
  <c r="N112" i="85"/>
  <c r="L112" i="85"/>
  <c r="J112" i="85"/>
  <c r="H112" i="85"/>
  <c r="R111" i="85"/>
  <c r="P111" i="85"/>
  <c r="N111" i="85"/>
  <c r="L111" i="85"/>
  <c r="J111" i="85"/>
  <c r="H111" i="85"/>
  <c r="R110" i="85"/>
  <c r="P110" i="85"/>
  <c r="N110" i="85"/>
  <c r="L110" i="85"/>
  <c r="J110" i="85"/>
  <c r="H110" i="85"/>
  <c r="R109" i="85"/>
  <c r="P109" i="85"/>
  <c r="N109" i="85"/>
  <c r="L109" i="85"/>
  <c r="J109" i="85"/>
  <c r="H109" i="85"/>
  <c r="R108" i="85"/>
  <c r="P108" i="85"/>
  <c r="N108" i="85"/>
  <c r="L108" i="85"/>
  <c r="J108" i="85"/>
  <c r="H108" i="85"/>
  <c r="R107" i="85"/>
  <c r="P107" i="85"/>
  <c r="N107" i="85"/>
  <c r="L107" i="85"/>
  <c r="J107" i="85"/>
  <c r="H107" i="85"/>
  <c r="O120" i="85"/>
  <c r="O10" i="85" s="1"/>
  <c r="K120" i="85"/>
  <c r="K10" i="85" s="1"/>
  <c r="I120" i="85"/>
  <c r="I10" i="85" s="1"/>
  <c r="M120" i="85"/>
  <c r="F71" i="87" l="1"/>
  <c r="F15" i="87" s="1"/>
  <c r="R123" i="86"/>
  <c r="S110" i="86"/>
  <c r="H120" i="85"/>
  <c r="N120" i="85"/>
  <c r="M10" i="85"/>
  <c r="S60" i="86"/>
  <c r="G71" i="87"/>
  <c r="G15" i="87" s="1"/>
  <c r="I40" i="86"/>
  <c r="I12" i="86" s="1"/>
  <c r="E17" i="87"/>
  <c r="G17" i="87"/>
  <c r="N12" i="86"/>
  <c r="G105" i="87"/>
  <c r="G11" i="87" s="1"/>
  <c r="F11" i="87"/>
  <c r="Y119" i="87"/>
  <c r="Y9" i="87" s="1"/>
  <c r="X9" i="87"/>
  <c r="S119" i="87"/>
  <c r="S9" i="87" s="1"/>
  <c r="R9" i="87"/>
  <c r="M119" i="87"/>
  <c r="M9" i="87" s="1"/>
  <c r="L9" i="87"/>
  <c r="G119" i="87"/>
  <c r="G9" i="87" s="1"/>
  <c r="F9" i="87"/>
  <c r="P120" i="85"/>
  <c r="P12" i="86"/>
  <c r="R63" i="86"/>
  <c r="R75" i="86"/>
  <c r="H15" i="87"/>
  <c r="J71" i="87"/>
  <c r="J15" i="87" s="1"/>
  <c r="F14" i="87"/>
  <c r="G95" i="87"/>
  <c r="G14" i="87" s="1"/>
  <c r="F12" i="87"/>
  <c r="G84" i="87"/>
  <c r="G12" i="87" s="1"/>
  <c r="V119" i="87"/>
  <c r="V9" i="87" s="1"/>
  <c r="U9" i="87"/>
  <c r="J119" i="87"/>
  <c r="J9" i="87" s="1"/>
  <c r="I9" i="87"/>
  <c r="S89" i="86"/>
  <c r="I99" i="86"/>
  <c r="J120" i="85"/>
  <c r="L120" i="85"/>
  <c r="P119" i="87"/>
  <c r="P9" i="87" s="1"/>
  <c r="N9" i="87"/>
  <c r="R11" i="86"/>
  <c r="S114" i="86"/>
  <c r="I123" i="86"/>
  <c r="S111" i="86"/>
  <c r="S56" i="86"/>
  <c r="S58" i="86"/>
  <c r="S59" i="86"/>
  <c r="S116" i="86"/>
  <c r="S115" i="86"/>
  <c r="S68" i="86"/>
  <c r="S72" i="86"/>
  <c r="S62" i="86"/>
  <c r="S67" i="86"/>
  <c r="S71" i="86"/>
  <c r="S66" i="86"/>
  <c r="S70" i="86"/>
  <c r="S64" i="86"/>
  <c r="S65" i="86"/>
  <c r="S69" i="86"/>
  <c r="S73" i="86"/>
  <c r="S74" i="86" s="1"/>
  <c r="S61" i="86"/>
  <c r="S123" i="86" l="1"/>
  <c r="R17" i="86"/>
  <c r="R19" i="86"/>
  <c r="I16" i="86"/>
  <c r="S99" i="86"/>
  <c r="S16" i="86" s="1"/>
  <c r="I11" i="86"/>
  <c r="S11" i="86"/>
  <c r="H97" i="85"/>
  <c r="H98" i="85"/>
  <c r="H99" i="85"/>
  <c r="H100" i="85"/>
  <c r="H101" i="85"/>
  <c r="H102" i="85"/>
  <c r="H103" i="85"/>
  <c r="H104" i="85"/>
  <c r="H105" i="85"/>
  <c r="F96" i="85" l="1"/>
  <c r="H95" i="85"/>
  <c r="H94" i="85"/>
  <c r="H93" i="85"/>
  <c r="L92" i="85"/>
  <c r="S91" i="85"/>
  <c r="T91" i="85" s="1"/>
  <c r="L91" i="85"/>
  <c r="H91" i="85"/>
  <c r="L90" i="85"/>
  <c r="L89" i="85"/>
  <c r="L88" i="85"/>
  <c r="P87" i="85"/>
  <c r="L87" i="85"/>
  <c r="H87" i="85"/>
  <c r="R86" i="85"/>
  <c r="P86" i="85"/>
  <c r="N86" i="85"/>
  <c r="L86" i="85"/>
  <c r="J86" i="85"/>
  <c r="H86" i="85"/>
  <c r="G96" i="85"/>
  <c r="E96" i="85"/>
  <c r="I96" i="85"/>
  <c r="U96" i="85"/>
  <c r="J96" i="85" l="1"/>
  <c r="I15" i="85"/>
  <c r="S96" i="85"/>
  <c r="S15" i="85" s="1"/>
  <c r="G15" i="85"/>
  <c r="H96" i="85"/>
  <c r="H15" i="85" s="1"/>
  <c r="V96" i="85"/>
  <c r="V15" i="85" s="1"/>
  <c r="U15" i="85"/>
  <c r="J15" i="85"/>
  <c r="F15" i="85"/>
  <c r="L96" i="85"/>
  <c r="L15" i="85" s="1"/>
  <c r="R96" i="85"/>
  <c r="R15" i="85" s="1"/>
  <c r="N96" i="85"/>
  <c r="N15" i="85" s="1"/>
  <c r="P96" i="85"/>
  <c r="P15" i="85" s="1"/>
  <c r="G85" i="85"/>
  <c r="I85" i="85"/>
  <c r="I13" i="85" s="1"/>
  <c r="K85" i="85"/>
  <c r="K13" i="85" s="1"/>
  <c r="M85" i="85"/>
  <c r="M13" i="85" s="1"/>
  <c r="O85" i="85"/>
  <c r="O13" i="85" s="1"/>
  <c r="T96" i="85" l="1"/>
  <c r="T15" i="85" s="1"/>
  <c r="F85" i="85"/>
  <c r="V85" i="85" s="1"/>
  <c r="E85" i="85"/>
  <c r="H85" i="85" s="1"/>
  <c r="J85" i="85" l="1"/>
  <c r="L85" i="85"/>
  <c r="N85" i="85"/>
  <c r="P85" i="85"/>
  <c r="E72" i="85"/>
  <c r="V71" i="85"/>
  <c r="T71" i="85"/>
  <c r="R71" i="85"/>
  <c r="P71" i="85"/>
  <c r="N71" i="85"/>
  <c r="L71" i="85"/>
  <c r="J71" i="85"/>
  <c r="H71" i="85"/>
  <c r="V70" i="85"/>
  <c r="T70" i="85"/>
  <c r="R70" i="85"/>
  <c r="P70" i="85"/>
  <c r="N70" i="85"/>
  <c r="L70" i="85"/>
  <c r="J70" i="85"/>
  <c r="H70" i="85"/>
  <c r="V69" i="85"/>
  <c r="T69" i="85"/>
  <c r="R69" i="85"/>
  <c r="P69" i="85"/>
  <c r="N69" i="85"/>
  <c r="L69" i="85"/>
  <c r="J69" i="85"/>
  <c r="H69" i="85"/>
  <c r="V68" i="85"/>
  <c r="T68" i="85"/>
  <c r="R68" i="85"/>
  <c r="P68" i="85"/>
  <c r="N68" i="85"/>
  <c r="L68" i="85"/>
  <c r="J68" i="85"/>
  <c r="H68" i="85"/>
  <c r="V67" i="85"/>
  <c r="T67" i="85"/>
  <c r="R67" i="85"/>
  <c r="P67" i="85"/>
  <c r="N67" i="85"/>
  <c r="L67" i="85"/>
  <c r="J67" i="85"/>
  <c r="H67" i="85"/>
  <c r="V66" i="85"/>
  <c r="T66" i="85"/>
  <c r="R66" i="85"/>
  <c r="P66" i="85"/>
  <c r="N66" i="85"/>
  <c r="L66" i="85"/>
  <c r="J66" i="85"/>
  <c r="H66" i="85"/>
  <c r="V65" i="85"/>
  <c r="T65" i="85"/>
  <c r="R65" i="85"/>
  <c r="P65" i="85"/>
  <c r="N65" i="85"/>
  <c r="L65" i="85"/>
  <c r="J65" i="85"/>
  <c r="H65" i="85"/>
  <c r="V64" i="85"/>
  <c r="T64" i="85"/>
  <c r="R64" i="85"/>
  <c r="P64" i="85"/>
  <c r="N64" i="85"/>
  <c r="L64" i="85"/>
  <c r="J64" i="85"/>
  <c r="H64" i="85"/>
  <c r="V63" i="85"/>
  <c r="T63" i="85"/>
  <c r="R63" i="85"/>
  <c r="P63" i="85"/>
  <c r="N63" i="85"/>
  <c r="L63" i="85"/>
  <c r="J63" i="85"/>
  <c r="H63" i="85"/>
  <c r="V62" i="85"/>
  <c r="T62" i="85"/>
  <c r="R62" i="85"/>
  <c r="P62" i="85"/>
  <c r="N62" i="85"/>
  <c r="L62" i="85"/>
  <c r="J62" i="85"/>
  <c r="H62" i="85"/>
  <c r="V61" i="85"/>
  <c r="T61" i="85"/>
  <c r="R61" i="85"/>
  <c r="P61" i="85"/>
  <c r="N61" i="85"/>
  <c r="L61" i="85"/>
  <c r="J61" i="85"/>
  <c r="H61" i="85"/>
  <c r="E60" i="85"/>
  <c r="E45" i="85" l="1"/>
  <c r="F45" i="85"/>
  <c r="G45" i="85"/>
  <c r="I45" i="85"/>
  <c r="I14" i="85" s="1"/>
  <c r="E52" i="85"/>
  <c r="R52" i="85" s="1"/>
  <c r="F52" i="85"/>
  <c r="G52" i="85"/>
  <c r="H52" i="85" s="1"/>
  <c r="I52" i="85"/>
  <c r="J52" i="85" l="1"/>
  <c r="I17" i="85"/>
  <c r="J45" i="85"/>
  <c r="H45" i="85"/>
  <c r="F17" i="85"/>
  <c r="T52" i="85"/>
  <c r="F37" i="85"/>
  <c r="E37" i="85"/>
  <c r="H37" i="85" s="1"/>
  <c r="R36" i="85"/>
  <c r="P36" i="85"/>
  <c r="N36" i="85"/>
  <c r="L36" i="85"/>
  <c r="J36" i="85"/>
  <c r="H36" i="85"/>
  <c r="R35" i="85"/>
  <c r="P35" i="85"/>
  <c r="N35" i="85"/>
  <c r="L35" i="85"/>
  <c r="J35" i="85"/>
  <c r="H35" i="85"/>
  <c r="R34" i="85"/>
  <c r="P34" i="85"/>
  <c r="N34" i="85"/>
  <c r="L34" i="85"/>
  <c r="J34" i="85"/>
  <c r="H34" i="85"/>
  <c r="R33" i="85"/>
  <c r="P33" i="85"/>
  <c r="N33" i="85"/>
  <c r="L33" i="85"/>
  <c r="J33" i="85"/>
  <c r="H33" i="85"/>
  <c r="R32" i="85"/>
  <c r="P32" i="85"/>
  <c r="N32" i="85"/>
  <c r="L32" i="85"/>
  <c r="J32" i="85"/>
  <c r="H32" i="85"/>
  <c r="R31" i="85"/>
  <c r="P31" i="85"/>
  <c r="N31" i="85"/>
  <c r="L31" i="85"/>
  <c r="J31" i="85"/>
  <c r="H31" i="85"/>
  <c r="R30" i="85"/>
  <c r="P30" i="85"/>
  <c r="N30" i="85"/>
  <c r="L30" i="85"/>
  <c r="J30" i="85"/>
  <c r="H30" i="85"/>
  <c r="R29" i="85"/>
  <c r="P29" i="85"/>
  <c r="N29" i="85"/>
  <c r="L29" i="85"/>
  <c r="H29" i="85"/>
  <c r="V37" i="85" l="1"/>
  <c r="F11" i="85"/>
  <c r="F141" i="84"/>
  <c r="F22" i="84" s="1"/>
  <c r="E141" i="84"/>
  <c r="E22" i="84" l="1"/>
  <c r="O141" i="84"/>
  <c r="O22" i="84" s="1"/>
  <c r="L20" i="84"/>
  <c r="H118" i="84"/>
  <c r="H20" i="84" s="1"/>
  <c r="G118" i="84"/>
  <c r="G20" i="84" s="1"/>
  <c r="F118" i="84"/>
  <c r="F20" i="84" s="1"/>
  <c r="E118" i="84"/>
  <c r="E20" i="84" s="1"/>
  <c r="P117" i="84"/>
  <c r="O117" i="84"/>
  <c r="M117" i="84"/>
  <c r="P116" i="84"/>
  <c r="O116" i="84"/>
  <c r="M116" i="84"/>
  <c r="P115" i="84"/>
  <c r="O115" i="84"/>
  <c r="M115" i="84"/>
  <c r="P114" i="84"/>
  <c r="O114" i="84"/>
  <c r="M114" i="84"/>
  <c r="P113" i="84"/>
  <c r="O113" i="84"/>
  <c r="M113" i="84"/>
  <c r="P112" i="84"/>
  <c r="O112" i="84"/>
  <c r="M112" i="84"/>
  <c r="O111" i="84"/>
  <c r="M111" i="84"/>
  <c r="E103" i="84" l="1"/>
  <c r="E18" i="84" s="1"/>
  <c r="P100" i="84"/>
  <c r="P99" i="84"/>
  <c r="J99" i="84"/>
  <c r="F99" i="84"/>
  <c r="F97" i="84"/>
  <c r="G97" i="84" s="1"/>
  <c r="P96" i="84"/>
  <c r="F96" i="84"/>
  <c r="G96" i="84" s="1"/>
  <c r="P95" i="84"/>
  <c r="F95" i="84"/>
  <c r="G95" i="84" s="1"/>
  <c r="P92" i="84"/>
  <c r="F92" i="84"/>
  <c r="G92" i="84" s="1"/>
  <c r="J94" i="84" l="1"/>
  <c r="J98" i="84"/>
  <c r="J102" i="84"/>
  <c r="J97" i="84"/>
  <c r="P98" i="84"/>
  <c r="J101" i="84"/>
  <c r="P102" i="84"/>
  <c r="J93" i="84"/>
  <c r="P94" i="84"/>
  <c r="P93" i="84"/>
  <c r="J96" i="84"/>
  <c r="P97" i="84"/>
  <c r="J100" i="84"/>
  <c r="P101" i="84"/>
  <c r="N99" i="84"/>
  <c r="O99" i="84" s="1"/>
  <c r="M99" i="84"/>
  <c r="M98" i="84"/>
  <c r="N98" i="84"/>
  <c r="O98" i="84" s="1"/>
  <c r="M102" i="84"/>
  <c r="N93" i="84"/>
  <c r="O93" i="84" s="1"/>
  <c r="M93" i="84"/>
  <c r="M97" i="84"/>
  <c r="N97" i="84"/>
  <c r="O97" i="84" s="1"/>
  <c r="M101" i="84"/>
  <c r="N101" i="84"/>
  <c r="O101" i="84" s="1"/>
  <c r="N95" i="84"/>
  <c r="O95" i="84" s="1"/>
  <c r="M95" i="84"/>
  <c r="O94" i="84"/>
  <c r="M94" i="84"/>
  <c r="O92" i="84"/>
  <c r="M92" i="84"/>
  <c r="M96" i="84"/>
  <c r="N96" i="84"/>
  <c r="O96" i="84" s="1"/>
  <c r="M100" i="84"/>
  <c r="N100" i="84"/>
  <c r="O100" i="84" s="1"/>
  <c r="P90" i="84" l="1"/>
  <c r="M90" i="84"/>
  <c r="P89" i="84"/>
  <c r="M89" i="84"/>
  <c r="P87" i="84"/>
  <c r="M87" i="84"/>
  <c r="P86" i="84"/>
  <c r="M86" i="84"/>
  <c r="P85" i="84"/>
  <c r="M85" i="84"/>
  <c r="P84" i="84"/>
  <c r="M84" i="84"/>
  <c r="P83" i="84"/>
  <c r="M83" i="84"/>
  <c r="P82" i="84"/>
  <c r="M82" i="84"/>
  <c r="P81" i="84"/>
  <c r="M81" i="84"/>
  <c r="F91" i="84"/>
  <c r="G91" i="84"/>
  <c r="G17" i="84" s="1"/>
  <c r="H91" i="84"/>
  <c r="H17" i="84" s="1"/>
  <c r="I91" i="84"/>
  <c r="I17" i="84" s="1"/>
  <c r="J91" i="84"/>
  <c r="J17" i="84" s="1"/>
  <c r="K91" i="84"/>
  <c r="K17" i="84" s="1"/>
  <c r="P91" i="84" l="1"/>
  <c r="P17" i="84" s="1"/>
  <c r="F17" i="84"/>
  <c r="L91" i="84"/>
  <c r="O91" i="84"/>
  <c r="O17" i="84" l="1"/>
  <c r="N17" i="84"/>
  <c r="L17" i="84"/>
  <c r="M91" i="84"/>
  <c r="M17" i="84" s="1"/>
  <c r="P79" i="84"/>
  <c r="N79" i="84"/>
  <c r="O79" i="84" s="1"/>
  <c r="L79" i="84"/>
  <c r="M79" i="84" s="1"/>
  <c r="P78" i="84"/>
  <c r="N78" i="84"/>
  <c r="O78" i="84" s="1"/>
  <c r="L78" i="84"/>
  <c r="M78" i="84" s="1"/>
  <c r="P77" i="84"/>
  <c r="N77" i="84"/>
  <c r="O77" i="84" s="1"/>
  <c r="M77" i="84"/>
  <c r="P76" i="84"/>
  <c r="N76" i="84"/>
  <c r="O76" i="84" s="1"/>
  <c r="L76" i="84"/>
  <c r="M76" i="84" s="1"/>
  <c r="P75" i="84"/>
  <c r="N75" i="84"/>
  <c r="O75" i="84" s="1"/>
  <c r="L75" i="84"/>
  <c r="M75" i="84" s="1"/>
  <c r="P74" i="84"/>
  <c r="N74" i="84"/>
  <c r="O74" i="84" s="1"/>
  <c r="L74" i="84"/>
  <c r="M74" i="84" s="1"/>
  <c r="P73" i="84"/>
  <c r="N73" i="84"/>
  <c r="M73" i="84"/>
  <c r="O73" i="84" l="1"/>
  <c r="N80" i="84"/>
  <c r="E72" i="84"/>
  <c r="E15" i="84" s="1"/>
  <c r="P71" i="84"/>
  <c r="O71" i="84"/>
  <c r="M71" i="84"/>
  <c r="P70" i="84"/>
  <c r="O70" i="84"/>
  <c r="M70" i="84"/>
  <c r="P69" i="84"/>
  <c r="O69" i="84"/>
  <c r="M69" i="84"/>
  <c r="P68" i="84"/>
  <c r="O68" i="84"/>
  <c r="M68" i="84"/>
  <c r="P67" i="84"/>
  <c r="O67" i="84"/>
  <c r="M67" i="84"/>
  <c r="P66" i="84"/>
  <c r="O66" i="84"/>
  <c r="M66" i="84"/>
  <c r="P65" i="84"/>
  <c r="O65" i="84"/>
  <c r="M65" i="84"/>
  <c r="P64" i="84"/>
  <c r="O64" i="84"/>
  <c r="M64" i="84"/>
  <c r="P63" i="84"/>
  <c r="O63" i="84"/>
  <c r="M63" i="84"/>
  <c r="P62" i="84"/>
  <c r="O62" i="84"/>
  <c r="M62" i="84"/>
  <c r="P61" i="84"/>
  <c r="O61" i="84"/>
  <c r="M61" i="84"/>
  <c r="P60" i="84"/>
  <c r="M60" i="84"/>
  <c r="N16" i="84" l="1"/>
  <c r="O60" i="84"/>
  <c r="N72" i="84"/>
  <c r="N15" i="84" s="1"/>
  <c r="L50" i="84"/>
  <c r="M50" i="84" s="1"/>
  <c r="L51" i="84"/>
  <c r="L52" i="84"/>
  <c r="L53" i="84"/>
  <c r="M53" i="84" s="1"/>
  <c r="L54" i="84"/>
  <c r="M54" i="84" s="1"/>
  <c r="L55" i="84"/>
  <c r="M55" i="84" s="1"/>
  <c r="L56" i="84"/>
  <c r="L57" i="84"/>
  <c r="M57" i="84" s="1"/>
  <c r="L58" i="84"/>
  <c r="M58" i="84" s="1"/>
  <c r="M52" i="84"/>
  <c r="N58" i="84"/>
  <c r="O58" i="84" s="1"/>
  <c r="P57" i="84"/>
  <c r="P56" i="84"/>
  <c r="N54" i="84"/>
  <c r="O54" i="84" s="1"/>
  <c r="N53" i="84"/>
  <c r="O53" i="84" s="1"/>
  <c r="M51" i="84"/>
  <c r="P58" i="84"/>
  <c r="N56" i="84"/>
  <c r="O56" i="84" s="1"/>
  <c r="P55" i="84"/>
  <c r="N55" i="84"/>
  <c r="O55" i="84" s="1"/>
  <c r="P54" i="84"/>
  <c r="N52" i="84"/>
  <c r="O52" i="84" s="1"/>
  <c r="P51" i="84"/>
  <c r="N51" i="84"/>
  <c r="O51" i="84" s="1"/>
  <c r="P50" i="84"/>
  <c r="O50" i="84" l="1"/>
  <c r="L59" i="84"/>
  <c r="P52" i="84"/>
  <c r="P53" i="84"/>
  <c r="M56" i="84"/>
  <c r="N57" i="84"/>
  <c r="O57" i="84" s="1"/>
  <c r="L14" i="84" l="1"/>
  <c r="N59" i="84"/>
  <c r="N14" i="84" s="1"/>
  <c r="L48" i="84"/>
  <c r="M48" i="84" s="1"/>
  <c r="L47" i="84"/>
  <c r="M47" i="84" s="1"/>
  <c r="L46" i="84"/>
  <c r="M46" i="84" s="1"/>
  <c r="L45" i="84"/>
  <c r="M45" i="84" s="1"/>
  <c r="L44" i="84"/>
  <c r="M44" i="84" s="1"/>
  <c r="L43" i="84"/>
  <c r="M43" i="84" s="1"/>
  <c r="L42" i="84"/>
  <c r="M42" i="84" s="1"/>
  <c r="P39" i="84" l="1"/>
  <c r="O39" i="84"/>
  <c r="P38" i="84"/>
  <c r="P37" i="84"/>
  <c r="O37" i="84"/>
  <c r="P36" i="84"/>
  <c r="O36" i="84"/>
  <c r="P35" i="84"/>
  <c r="O35" i="84"/>
  <c r="P34" i="84"/>
  <c r="O34" i="84"/>
  <c r="P33" i="84"/>
  <c r="O33" i="84"/>
  <c r="P32" i="84"/>
  <c r="O32" i="84"/>
  <c r="P31" i="84"/>
  <c r="O31" i="84"/>
  <c r="P30" i="84"/>
  <c r="O30" i="84"/>
  <c r="P29" i="84"/>
  <c r="O29" i="84"/>
  <c r="P28" i="84"/>
  <c r="O28" i="84"/>
  <c r="O27" i="84"/>
  <c r="U13" i="85" l="1"/>
  <c r="O37" i="85" l="1"/>
  <c r="O11" i="85" s="1"/>
  <c r="O143" i="85"/>
  <c r="O19" i="85" s="1"/>
  <c r="O132" i="85"/>
  <c r="O20" i="85" s="1"/>
  <c r="F146" i="86"/>
  <c r="G146" i="86"/>
  <c r="H146" i="86"/>
  <c r="J146" i="86"/>
  <c r="E146" i="86"/>
  <c r="E20" i="86" s="1"/>
  <c r="F135" i="86"/>
  <c r="G135" i="86"/>
  <c r="H135" i="86"/>
  <c r="J135" i="86"/>
  <c r="E135" i="86"/>
  <c r="E21" i="86" s="1"/>
  <c r="E123" i="86"/>
  <c r="F109" i="86"/>
  <c r="G109" i="86"/>
  <c r="H109" i="86"/>
  <c r="I109" i="86"/>
  <c r="J109" i="86"/>
  <c r="E109" i="86"/>
  <c r="E13" i="86" s="1"/>
  <c r="F99" i="86"/>
  <c r="G99" i="86"/>
  <c r="H99" i="86"/>
  <c r="J99" i="86"/>
  <c r="E99" i="86"/>
  <c r="E16" i="86" s="1"/>
  <c r="F88" i="86"/>
  <c r="G88" i="86"/>
  <c r="H88" i="86"/>
  <c r="J88" i="86"/>
  <c r="E88" i="86"/>
  <c r="E14" i="86" s="1"/>
  <c r="F75" i="86"/>
  <c r="G75" i="86"/>
  <c r="H75" i="86"/>
  <c r="J75" i="86"/>
  <c r="E75" i="86"/>
  <c r="E17" i="86" s="1"/>
  <c r="F63" i="86"/>
  <c r="G63" i="86"/>
  <c r="G19" i="86" s="1"/>
  <c r="H63" i="86"/>
  <c r="J63" i="86"/>
  <c r="F55" i="86"/>
  <c r="G55" i="86"/>
  <c r="H55" i="86"/>
  <c r="I55" i="86"/>
  <c r="J55" i="86"/>
  <c r="E55" i="86"/>
  <c r="E18" i="86" s="1"/>
  <c r="J40" i="86"/>
  <c r="F48" i="86"/>
  <c r="G48" i="86"/>
  <c r="H48" i="86"/>
  <c r="I48" i="86"/>
  <c r="J48" i="86"/>
  <c r="F40" i="86"/>
  <c r="G40" i="86"/>
  <c r="H40" i="86"/>
  <c r="F18" i="86" l="1"/>
  <c r="M55" i="86"/>
  <c r="M18" i="86" s="1"/>
  <c r="Q88" i="86"/>
  <c r="Q14" i="86" s="1"/>
  <c r="H14" i="86"/>
  <c r="J21" i="86"/>
  <c r="K135" i="86"/>
  <c r="K21" i="86" s="1"/>
  <c r="M109" i="86"/>
  <c r="M13" i="86" s="1"/>
  <c r="F13" i="86"/>
  <c r="H21" i="86"/>
  <c r="Q135" i="86"/>
  <c r="Q21" i="86" s="1"/>
  <c r="K146" i="86"/>
  <c r="K20" i="86" s="1"/>
  <c r="J20" i="86"/>
  <c r="F12" i="86"/>
  <c r="M40" i="86"/>
  <c r="M12" i="86" s="1"/>
  <c r="J18" i="86"/>
  <c r="K55" i="86"/>
  <c r="K18" i="86" s="1"/>
  <c r="G17" i="86"/>
  <c r="O75" i="86"/>
  <c r="O17" i="86" s="1"/>
  <c r="J16" i="86"/>
  <c r="K99" i="86"/>
  <c r="K16" i="86" s="1"/>
  <c r="G13" i="86"/>
  <c r="O109" i="86"/>
  <c r="O13" i="86" s="1"/>
  <c r="F20" i="86"/>
  <c r="M146" i="86"/>
  <c r="M20" i="86" s="1"/>
  <c r="F15" i="86"/>
  <c r="M48" i="86"/>
  <c r="M15" i="86" s="1"/>
  <c r="K63" i="86"/>
  <c r="K19" i="86" s="1"/>
  <c r="J19" i="86"/>
  <c r="G14" i="86"/>
  <c r="O88" i="86"/>
  <c r="O14" i="86" s="1"/>
  <c r="K109" i="86"/>
  <c r="K13" i="86" s="1"/>
  <c r="J13" i="86"/>
  <c r="H12" i="86"/>
  <c r="Q40" i="86"/>
  <c r="Q12" i="86" s="1"/>
  <c r="I15" i="86"/>
  <c r="S48" i="86"/>
  <c r="S15" i="86" s="1"/>
  <c r="J12" i="86"/>
  <c r="K40" i="86"/>
  <c r="K12" i="86" s="1"/>
  <c r="H18" i="86"/>
  <c r="Q55" i="86"/>
  <c r="Q18" i="86" s="1"/>
  <c r="H19" i="86"/>
  <c r="Q63" i="86"/>
  <c r="Q19" i="86" s="1"/>
  <c r="K75" i="86"/>
  <c r="K17" i="86" s="1"/>
  <c r="J17" i="86"/>
  <c r="M88" i="86"/>
  <c r="M14" i="86" s="1"/>
  <c r="F14" i="86"/>
  <c r="G16" i="86"/>
  <c r="G22" i="86" s="1"/>
  <c r="O99" i="86"/>
  <c r="O16" i="86" s="1"/>
  <c r="I13" i="86"/>
  <c r="S109" i="86"/>
  <c r="S13" i="86" s="1"/>
  <c r="E11" i="86"/>
  <c r="E22" i="86" s="1"/>
  <c r="K123" i="86"/>
  <c r="K11" i="86" s="1"/>
  <c r="G21" i="86"/>
  <c r="O135" i="86"/>
  <c r="O21" i="86" s="1"/>
  <c r="G15" i="86"/>
  <c r="O48" i="86"/>
  <c r="O15" i="86" s="1"/>
  <c r="O63" i="86"/>
  <c r="O19" i="86" s="1"/>
  <c r="F19" i="86"/>
  <c r="M63" i="86"/>
  <c r="M19" i="86" s="1"/>
  <c r="K48" i="86"/>
  <c r="K15" i="86" s="1"/>
  <c r="J15" i="86"/>
  <c r="S55" i="86"/>
  <c r="S18" i="86" s="1"/>
  <c r="I18" i="86"/>
  <c r="M75" i="86"/>
  <c r="M17" i="86" s="1"/>
  <c r="F17" i="86"/>
  <c r="G12" i="86"/>
  <c r="O40" i="86"/>
  <c r="O12" i="86" s="1"/>
  <c r="H15" i="86"/>
  <c r="Q48" i="86"/>
  <c r="Q15" i="86" s="1"/>
  <c r="O55" i="86"/>
  <c r="O18" i="86" s="1"/>
  <c r="G18" i="86"/>
  <c r="H17" i="86"/>
  <c r="Q75" i="86"/>
  <c r="Q17" i="86" s="1"/>
  <c r="K88" i="86"/>
  <c r="K14" i="86" s="1"/>
  <c r="J14" i="86"/>
  <c r="F16" i="86"/>
  <c r="M99" i="86"/>
  <c r="M16" i="86" s="1"/>
  <c r="H13" i="86"/>
  <c r="Q109" i="86"/>
  <c r="Q13" i="86" s="1"/>
  <c r="F21" i="86"/>
  <c r="M135" i="86"/>
  <c r="M21" i="86" s="1"/>
  <c r="G20" i="86"/>
  <c r="O146" i="86"/>
  <c r="O20" i="86" s="1"/>
  <c r="H16" i="86"/>
  <c r="Q99" i="86"/>
  <c r="Q16" i="86" s="1"/>
  <c r="Q146" i="86"/>
  <c r="Q20" i="86" s="1"/>
  <c r="H20" i="86"/>
  <c r="P22" i="86"/>
  <c r="N22" i="86"/>
  <c r="L22" i="86"/>
  <c r="F22" i="86" l="1"/>
  <c r="M22" i="86" s="1"/>
  <c r="J22" i="86"/>
  <c r="K22" i="86" s="1"/>
  <c r="H22" i="86"/>
  <c r="Q22" i="86" s="1"/>
  <c r="O22" i="86"/>
  <c r="V20" i="87"/>
  <c r="H11" i="85" l="1"/>
  <c r="H13" i="85"/>
  <c r="H14" i="85"/>
  <c r="H16" i="85"/>
  <c r="H17" i="85"/>
  <c r="H18" i="85"/>
  <c r="H19" i="85"/>
  <c r="H20" i="85"/>
  <c r="H10" i="85"/>
  <c r="G21" i="85"/>
  <c r="T17" i="85" l="1"/>
  <c r="F13" i="85"/>
  <c r="V13" i="85" l="1"/>
  <c r="T13" i="85"/>
  <c r="G143" i="85"/>
  <c r="H143" i="85"/>
  <c r="I143" i="85"/>
  <c r="I19" i="85" s="1"/>
  <c r="K143" i="85"/>
  <c r="K19" i="85" s="1"/>
  <c r="M143" i="85"/>
  <c r="Q143" i="85"/>
  <c r="F143" i="85"/>
  <c r="F19" i="85" l="1"/>
  <c r="M19" i="85"/>
  <c r="M132" i="85"/>
  <c r="M20" i="85" s="1"/>
  <c r="K132" i="85"/>
  <c r="I132" i="85"/>
  <c r="F20" i="85"/>
  <c r="T20" i="85" s="1"/>
  <c r="G132" i="85"/>
  <c r="H132" i="85" s="1"/>
  <c r="U120" i="85"/>
  <c r="V120" i="85" s="1"/>
  <c r="U10" i="85"/>
  <c r="S106" i="85"/>
  <c r="S12" i="85" s="1"/>
  <c r="Q106" i="85"/>
  <c r="Q12" i="85" s="1"/>
  <c r="O106" i="85"/>
  <c r="O12" i="85" s="1"/>
  <c r="M106" i="85"/>
  <c r="M12" i="85" s="1"/>
  <c r="K106" i="85"/>
  <c r="K12" i="85" s="1"/>
  <c r="I106" i="85"/>
  <c r="I12" i="85" s="1"/>
  <c r="F106" i="85"/>
  <c r="G106" i="85"/>
  <c r="E106" i="85"/>
  <c r="F72" i="85"/>
  <c r="F16" i="85" s="1"/>
  <c r="G72" i="85"/>
  <c r="H72" i="85" s="1"/>
  <c r="I72" i="85"/>
  <c r="K72" i="85"/>
  <c r="K16" i="85" s="1"/>
  <c r="M72" i="85"/>
  <c r="M16" i="85" s="1"/>
  <c r="O72" i="85"/>
  <c r="Q72" i="85"/>
  <c r="S72" i="85"/>
  <c r="U72" i="85"/>
  <c r="V72" i="85" s="1"/>
  <c r="Q60" i="85"/>
  <c r="R60" i="85" s="1"/>
  <c r="O60" i="85"/>
  <c r="M60" i="85"/>
  <c r="M18" i="85" s="1"/>
  <c r="K60" i="85"/>
  <c r="I60" i="85"/>
  <c r="G60" i="85"/>
  <c r="H60" i="85" s="1"/>
  <c r="F60" i="85"/>
  <c r="O52" i="85"/>
  <c r="M52" i="85"/>
  <c r="K52" i="85"/>
  <c r="J72" i="85" l="1"/>
  <c r="I16" i="85"/>
  <c r="J16" i="85" s="1"/>
  <c r="J60" i="85"/>
  <c r="I18" i="85"/>
  <c r="L60" i="85"/>
  <c r="K18" i="85"/>
  <c r="T16" i="85"/>
  <c r="P60" i="85"/>
  <c r="O18" i="85"/>
  <c r="U18" i="85" s="1"/>
  <c r="H106" i="85"/>
  <c r="H12" i="85" s="1"/>
  <c r="J132" i="85"/>
  <c r="I20" i="85"/>
  <c r="L132" i="85"/>
  <c r="K20" i="85"/>
  <c r="T72" i="85"/>
  <c r="S16" i="85"/>
  <c r="K17" i="85"/>
  <c r="L52" i="85"/>
  <c r="R72" i="85"/>
  <c r="Q16" i="85"/>
  <c r="M17" i="85"/>
  <c r="N52" i="85"/>
  <c r="P72" i="85"/>
  <c r="O16" i="85"/>
  <c r="O17" i="85"/>
  <c r="P52" i="85"/>
  <c r="N132" i="85"/>
  <c r="F18" i="85"/>
  <c r="T18" i="85" s="1"/>
  <c r="V60" i="85"/>
  <c r="T60" i="85"/>
  <c r="N60" i="85"/>
  <c r="U17" i="85"/>
  <c r="V17" i="85" s="1"/>
  <c r="N106" i="85"/>
  <c r="N12" i="85" s="1"/>
  <c r="V106" i="85"/>
  <c r="V12" i="85" s="1"/>
  <c r="F12" i="85"/>
  <c r="N72" i="85"/>
  <c r="J106" i="85"/>
  <c r="J12" i="85" s="1"/>
  <c r="R106" i="85"/>
  <c r="R12" i="85" s="1"/>
  <c r="P106" i="85"/>
  <c r="P12" i="85" s="1"/>
  <c r="L72" i="85"/>
  <c r="L106" i="85"/>
  <c r="L12" i="85" s="1"/>
  <c r="T106" i="85"/>
  <c r="T12" i="85" s="1"/>
  <c r="T10" i="85"/>
  <c r="K45" i="85"/>
  <c r="M45" i="85"/>
  <c r="M14" i="85" s="1"/>
  <c r="O45" i="85"/>
  <c r="Q45" i="85"/>
  <c r="S45" i="85"/>
  <c r="S14" i="85" s="1"/>
  <c r="T45" i="85"/>
  <c r="U45" i="85"/>
  <c r="V45" i="85"/>
  <c r="F14" i="85"/>
  <c r="S37" i="85"/>
  <c r="Q37" i="85"/>
  <c r="M37" i="85"/>
  <c r="M11" i="85" s="1"/>
  <c r="K37" i="85"/>
  <c r="K11" i="85" s="1"/>
  <c r="L11" i="85" s="1"/>
  <c r="I37" i="85"/>
  <c r="E21" i="85"/>
  <c r="H21" i="85" s="1"/>
  <c r="R45" i="85" l="1"/>
  <c r="Q14" i="85"/>
  <c r="P45" i="85"/>
  <c r="O14" i="85"/>
  <c r="O21" i="85" s="1"/>
  <c r="J37" i="85"/>
  <c r="I11" i="85"/>
  <c r="L45" i="85"/>
  <c r="K14" i="85"/>
  <c r="U14" i="85" s="1"/>
  <c r="V14" i="85" s="1"/>
  <c r="R37" i="85"/>
  <c r="Q11" i="85"/>
  <c r="Q21" i="85" s="1"/>
  <c r="U16" i="85"/>
  <c r="V16" i="85" s="1"/>
  <c r="T37" i="85"/>
  <c r="S11" i="85"/>
  <c r="U20" i="85"/>
  <c r="V20" i="85" s="1"/>
  <c r="M21" i="85"/>
  <c r="V10" i="85"/>
  <c r="V18" i="85"/>
  <c r="T14" i="85"/>
  <c r="N45" i="85"/>
  <c r="P37" i="85"/>
  <c r="F21" i="85"/>
  <c r="P11" i="85"/>
  <c r="T11" i="85"/>
  <c r="L37" i="85"/>
  <c r="N37" i="85"/>
  <c r="I21" i="85" l="1"/>
  <c r="J21" i="85" s="1"/>
  <c r="U11" i="85"/>
  <c r="K21" i="85"/>
  <c r="L21" i="85" s="1"/>
  <c r="P21" i="85"/>
  <c r="R21" i="85"/>
  <c r="N21" i="85"/>
  <c r="V11" i="85" l="1"/>
  <c r="Y28" i="87"/>
  <c r="Y29" i="87"/>
  <c r="Y30" i="87"/>
  <c r="Y31" i="87"/>
  <c r="R20" i="85" l="1"/>
  <c r="R18" i="85"/>
  <c r="P17" i="85"/>
  <c r="R16" i="85"/>
  <c r="P16" i="85"/>
  <c r="N16" i="85"/>
  <c r="L16" i="85"/>
  <c r="R14" i="85"/>
  <c r="P14" i="85"/>
  <c r="N14" i="85"/>
  <c r="L14" i="85"/>
  <c r="J14" i="85"/>
  <c r="R13" i="85"/>
  <c r="P13" i="85"/>
  <c r="N13" i="85"/>
  <c r="L13" i="85"/>
  <c r="J13" i="85"/>
  <c r="R11" i="85"/>
  <c r="N11" i="85"/>
  <c r="J11" i="85"/>
  <c r="R10" i="85"/>
  <c r="P10" i="85"/>
  <c r="N10" i="85"/>
  <c r="L10" i="85"/>
  <c r="J10" i="85"/>
  <c r="R17" i="85" l="1"/>
  <c r="J19" i="85"/>
  <c r="J18" i="85"/>
  <c r="R19" i="85"/>
  <c r="P18" i="85"/>
  <c r="L18" i="85"/>
  <c r="J17" i="85"/>
  <c r="N19" i="85"/>
  <c r="L17" i="85"/>
  <c r="N18" i="85"/>
  <c r="P19" i="85"/>
  <c r="P20" i="85"/>
  <c r="J20" i="85"/>
  <c r="N17" i="85"/>
  <c r="L19" i="85"/>
  <c r="L20" i="85"/>
  <c r="N20" i="85"/>
  <c r="F129" i="84" l="1"/>
  <c r="F21" i="84" s="1"/>
  <c r="Q87" i="84" l="1"/>
  <c r="R87" i="84" l="1"/>
  <c r="Q52" i="84"/>
  <c r="R52" i="84" s="1"/>
  <c r="Q56" i="84"/>
  <c r="R56" i="84" s="1"/>
  <c r="Q58" i="84"/>
  <c r="R58" i="84" s="1"/>
  <c r="Q60" i="84"/>
  <c r="R60" i="84" s="1"/>
  <c r="Q61" i="84"/>
  <c r="R61" i="84" s="1"/>
  <c r="Q62" i="84"/>
  <c r="R62" i="84" s="1"/>
  <c r="Q63" i="84"/>
  <c r="R63" i="84" s="1"/>
  <c r="Q64" i="84"/>
  <c r="R64" i="84" s="1"/>
  <c r="Q65" i="84"/>
  <c r="R65" i="84" s="1"/>
  <c r="Q66" i="84"/>
  <c r="R66" i="84" s="1"/>
  <c r="Q67" i="84"/>
  <c r="R67" i="84" s="1"/>
  <c r="Q68" i="84"/>
  <c r="R68" i="84" s="1"/>
  <c r="Q69" i="84"/>
  <c r="R69" i="84" s="1"/>
  <c r="Q70" i="84"/>
  <c r="R70" i="84" s="1"/>
  <c r="Q71" i="84"/>
  <c r="R71" i="84" s="1"/>
  <c r="Q73" i="84"/>
  <c r="R73" i="84" s="1"/>
  <c r="Q74" i="84"/>
  <c r="R74" i="84" s="1"/>
  <c r="Q75" i="84"/>
  <c r="R75" i="84" s="1"/>
  <c r="Q76" i="84"/>
  <c r="R76" i="84" s="1"/>
  <c r="Q77" i="84"/>
  <c r="R77" i="84" s="1"/>
  <c r="Q78" i="84"/>
  <c r="R78" i="84" s="1"/>
  <c r="Q79" i="84"/>
  <c r="R79" i="84" s="1"/>
  <c r="Q81" i="84"/>
  <c r="R81" i="84" s="1"/>
  <c r="Q82" i="84"/>
  <c r="R82" i="84" s="1"/>
  <c r="Q83" i="84"/>
  <c r="R83" i="84" s="1"/>
  <c r="Q84" i="84"/>
  <c r="R84" i="84" s="1"/>
  <c r="Q85" i="84"/>
  <c r="R85" i="84" s="1"/>
  <c r="Q86" i="84"/>
  <c r="R86" i="84" s="1"/>
  <c r="Q88" i="84"/>
  <c r="R88" i="84" s="1"/>
  <c r="Q90" i="84"/>
  <c r="R90" i="84" s="1"/>
  <c r="Q92" i="84"/>
  <c r="R92" i="84" s="1"/>
  <c r="Q93" i="84"/>
  <c r="R93" i="84" s="1"/>
  <c r="Q94" i="84"/>
  <c r="R94" i="84" s="1"/>
  <c r="Q95" i="84"/>
  <c r="R95" i="84" s="1"/>
  <c r="Q96" i="84"/>
  <c r="R96" i="84" s="1"/>
  <c r="Q97" i="84"/>
  <c r="R97" i="84" s="1"/>
  <c r="Q98" i="84"/>
  <c r="R98" i="84" s="1"/>
  <c r="Q99" i="84"/>
  <c r="R99" i="84" s="1"/>
  <c r="Q100" i="84"/>
  <c r="R100" i="84" s="1"/>
  <c r="Q101" i="84"/>
  <c r="R101" i="84" s="1"/>
  <c r="Q102" i="84"/>
  <c r="R102" i="84" s="1"/>
  <c r="Q105" i="84"/>
  <c r="R105" i="84" s="1"/>
  <c r="Q106" i="84"/>
  <c r="R106" i="84" s="1"/>
  <c r="Q108" i="84"/>
  <c r="R108" i="84" s="1"/>
  <c r="Q111" i="84"/>
  <c r="R111" i="84" s="1"/>
  <c r="Q112" i="84"/>
  <c r="R112" i="84" s="1"/>
  <c r="Q113" i="84"/>
  <c r="R113" i="84" s="1"/>
  <c r="Q114" i="84"/>
  <c r="R114" i="84" s="1"/>
  <c r="Q115" i="84"/>
  <c r="R115" i="84" s="1"/>
  <c r="Q116" i="84"/>
  <c r="R116" i="84" s="1"/>
  <c r="Q117" i="84"/>
  <c r="R117" i="84" s="1"/>
  <c r="Q121" i="84"/>
  <c r="R121" i="84" s="1"/>
  <c r="Q130" i="84"/>
  <c r="R130" i="84" s="1"/>
  <c r="Q131" i="84"/>
  <c r="R131" i="84" s="1"/>
  <c r="Q132" i="84"/>
  <c r="R132" i="84" s="1"/>
  <c r="Q133" i="84"/>
  <c r="R133" i="84" s="1"/>
  <c r="Q134" i="84"/>
  <c r="R134" i="84" s="1"/>
  <c r="Q135" i="84"/>
  <c r="R135" i="84" s="1"/>
  <c r="Q136" i="84"/>
  <c r="R136" i="84" s="1"/>
  <c r="Q137" i="84"/>
  <c r="R137" i="84" s="1"/>
  <c r="Q138" i="84"/>
  <c r="R138" i="84" s="1"/>
  <c r="Q139" i="84"/>
  <c r="R139" i="84" s="1"/>
  <c r="Q140" i="84"/>
  <c r="R140" i="84" s="1"/>
  <c r="Q27" i="84"/>
  <c r="R27" i="84" s="1"/>
  <c r="T45" i="84"/>
  <c r="Q28" i="84" l="1"/>
  <c r="R28" i="84" s="1"/>
  <c r="Q29" i="84"/>
  <c r="R29" i="84" s="1"/>
  <c r="Q30" i="84"/>
  <c r="R30" i="84" s="1"/>
  <c r="Q31" i="84"/>
  <c r="R31" i="84" s="1"/>
  <c r="Q32" i="84"/>
  <c r="R32" i="84" s="1"/>
  <c r="Q33" i="84"/>
  <c r="R33" i="84" s="1"/>
  <c r="Q34" i="84"/>
  <c r="R34" i="84" s="1"/>
  <c r="Q35" i="84"/>
  <c r="R35" i="84" s="1"/>
  <c r="Q36" i="84"/>
  <c r="R36" i="84" s="1"/>
  <c r="Q37" i="84"/>
  <c r="R37" i="84" s="1"/>
  <c r="Q38" i="84"/>
  <c r="R38" i="84" s="1"/>
  <c r="Q39" i="84"/>
  <c r="R39" i="84" s="1"/>
  <c r="Y17" i="84" l="1"/>
  <c r="K103" i="84" l="1"/>
  <c r="K18" i="84" s="1"/>
  <c r="J103" i="84"/>
  <c r="J18" i="84" s="1"/>
  <c r="I103" i="84"/>
  <c r="I18" i="84" s="1"/>
  <c r="H103" i="84"/>
  <c r="H18" i="84" s="1"/>
  <c r="G103" i="84"/>
  <c r="G18" i="84" s="1"/>
  <c r="F103" i="84"/>
  <c r="F18" i="84" s="1"/>
  <c r="J72" i="84"/>
  <c r="J15" i="84" s="1"/>
  <c r="I72" i="84"/>
  <c r="I15" i="84" s="1"/>
  <c r="H72" i="84"/>
  <c r="H15" i="84" s="1"/>
  <c r="F72" i="84"/>
  <c r="F15" i="84" s="1"/>
  <c r="Q103" i="84" l="1"/>
  <c r="R103" i="84" s="1"/>
  <c r="G72" i="84"/>
  <c r="G15" i="84" s="1"/>
  <c r="N103" i="84"/>
  <c r="N18" i="84" s="1"/>
  <c r="L103" i="84"/>
  <c r="L18" i="84" s="1"/>
  <c r="P103" i="84"/>
  <c r="P18" i="84" s="1"/>
  <c r="P72" i="84"/>
  <c r="P15" i="84" s="1"/>
  <c r="L72" i="84" l="1"/>
  <c r="O72" i="84"/>
  <c r="O15" i="84" s="1"/>
  <c r="Q72" i="84"/>
  <c r="R72" i="84" s="1"/>
  <c r="O103" i="84"/>
  <c r="O18" i="84" s="1"/>
  <c r="M103" i="84"/>
  <c r="M18" i="84" s="1"/>
  <c r="L15" i="84" l="1"/>
  <c r="M72" i="84"/>
  <c r="M15" i="84" s="1"/>
  <c r="E21" i="84"/>
  <c r="H49" i="84"/>
  <c r="H13" i="84" s="1"/>
  <c r="I49" i="84"/>
  <c r="I13" i="84" s="1"/>
  <c r="J49" i="84"/>
  <c r="J13" i="84" s="1"/>
  <c r="F80" i="84"/>
  <c r="H80" i="84"/>
  <c r="H16" i="84" s="1"/>
  <c r="I80" i="84"/>
  <c r="I16" i="84" s="1"/>
  <c r="J80" i="84"/>
  <c r="J16" i="84" s="1"/>
  <c r="K80" i="84"/>
  <c r="K16" i="84" s="1"/>
  <c r="F16" i="84" l="1"/>
  <c r="Q80" i="84"/>
  <c r="L80" i="84"/>
  <c r="L16" i="84" s="1"/>
  <c r="K49" i="84" l="1"/>
  <c r="K13" i="84" s="1"/>
  <c r="Q57" i="84" l="1"/>
  <c r="R57" i="84" s="1"/>
  <c r="Q55" i="84"/>
  <c r="R55" i="84" s="1"/>
  <c r="Q54" i="84"/>
  <c r="R54" i="84" s="1"/>
  <c r="Q53" i="84"/>
  <c r="R53" i="84" s="1"/>
  <c r="Q51" i="84"/>
  <c r="R51" i="84" s="1"/>
  <c r="Q50" i="84"/>
  <c r="R50" i="84" s="1"/>
  <c r="Q109" i="84"/>
  <c r="R109" i="84" s="1"/>
  <c r="Q107" i="84"/>
  <c r="R107" i="84" s="1"/>
  <c r="Q104" i="84"/>
  <c r="R104" i="84" s="1"/>
  <c r="G49" i="84" l="1"/>
  <c r="H129" i="84"/>
  <c r="H21" i="84" s="1"/>
  <c r="L49" i="84" l="1"/>
  <c r="L13" i="84" s="1"/>
  <c r="G13" i="84"/>
  <c r="N13" i="84"/>
  <c r="Q49" i="84"/>
  <c r="P21" i="84"/>
  <c r="I129" i="84"/>
  <c r="I21" i="84" s="1"/>
  <c r="J129" i="84"/>
  <c r="J21" i="84" s="1"/>
  <c r="K129" i="84"/>
  <c r="K21" i="84" s="1"/>
  <c r="O13" i="84" l="1"/>
  <c r="G141" i="84"/>
  <c r="G22" i="84" s="1"/>
  <c r="H141" i="84"/>
  <c r="H22" i="84" s="1"/>
  <c r="J141" i="84"/>
  <c r="J22" i="84" s="1"/>
  <c r="K141" i="84"/>
  <c r="K22" i="84" s="1"/>
  <c r="F40" i="84"/>
  <c r="G40" i="84"/>
  <c r="G12" i="84" s="1"/>
  <c r="H40" i="84"/>
  <c r="H12" i="84" s="1"/>
  <c r="I40" i="84"/>
  <c r="K40" i="84"/>
  <c r="K12" i="84" s="1"/>
  <c r="N12" i="84"/>
  <c r="E40" i="84"/>
  <c r="E12" i="84" s="1"/>
  <c r="G59" i="84"/>
  <c r="G14" i="84" s="1"/>
  <c r="H59" i="84"/>
  <c r="H14" i="84" s="1"/>
  <c r="I59" i="84"/>
  <c r="I14" i="84" s="1"/>
  <c r="J59" i="84"/>
  <c r="J14" i="84" s="1"/>
  <c r="K59" i="84"/>
  <c r="K14" i="84" s="1"/>
  <c r="E59" i="84"/>
  <c r="I118" i="84"/>
  <c r="I20" i="84" s="1"/>
  <c r="J118" i="84"/>
  <c r="J20" i="84" s="1"/>
  <c r="K118" i="84"/>
  <c r="K20" i="84" s="1"/>
  <c r="N118" i="84"/>
  <c r="N20" i="84" s="1"/>
  <c r="F110" i="84"/>
  <c r="G110" i="84"/>
  <c r="G19" i="84" s="1"/>
  <c r="H110" i="84"/>
  <c r="H19" i="84" s="1"/>
  <c r="I110" i="84"/>
  <c r="I19" i="84" s="1"/>
  <c r="J110" i="84"/>
  <c r="J19" i="84" s="1"/>
  <c r="K110" i="84"/>
  <c r="K19" i="84" s="1"/>
  <c r="N19" i="84"/>
  <c r="E110" i="84"/>
  <c r="E19" i="84" s="1"/>
  <c r="E80" i="84"/>
  <c r="F36" i="87"/>
  <c r="F10" i="87" s="1"/>
  <c r="F20" i="87" s="1"/>
  <c r="H36" i="87"/>
  <c r="H10" i="87" s="1"/>
  <c r="H20" i="87" s="1"/>
  <c r="I36" i="87"/>
  <c r="I10" i="87" s="1"/>
  <c r="I20" i="87" s="1"/>
  <c r="J20" i="87" s="1"/>
  <c r="K10" i="87"/>
  <c r="K20" i="87" s="1"/>
  <c r="L36" i="87"/>
  <c r="L10" i="87" s="1"/>
  <c r="L20" i="87" s="1"/>
  <c r="N36" i="87"/>
  <c r="N10" i="87" s="1"/>
  <c r="N20" i="87" s="1"/>
  <c r="O36" i="87"/>
  <c r="O10" i="87" s="1"/>
  <c r="O20" i="87" s="1"/>
  <c r="Q36" i="87"/>
  <c r="Q10" i="87" s="1"/>
  <c r="Q20" i="87" s="1"/>
  <c r="R36" i="87"/>
  <c r="R10" i="87" s="1"/>
  <c r="R20" i="87" s="1"/>
  <c r="T36" i="87"/>
  <c r="T10" i="87" s="1"/>
  <c r="T20" i="87" s="1"/>
  <c r="U36" i="87"/>
  <c r="U10" i="87" s="1"/>
  <c r="U20" i="87" s="1"/>
  <c r="W36" i="87"/>
  <c r="W10" i="87" s="1"/>
  <c r="W20" i="87" s="1"/>
  <c r="X36" i="87"/>
  <c r="X10" i="87" s="1"/>
  <c r="X20" i="87" s="1"/>
  <c r="E36" i="87"/>
  <c r="E10" i="87" s="1"/>
  <c r="E20" i="87" s="1"/>
  <c r="I12" i="84" l="1"/>
  <c r="L40" i="84"/>
  <c r="M40" i="84" s="1"/>
  <c r="M20" i="87"/>
  <c r="Y20" i="87"/>
  <c r="S20" i="87"/>
  <c r="G20" i="87"/>
  <c r="E16" i="84"/>
  <c r="E23" i="84" s="1"/>
  <c r="O80" i="84"/>
  <c r="O16" i="84" s="1"/>
  <c r="P80" i="84"/>
  <c r="P16" i="84" s="1"/>
  <c r="F19" i="84"/>
  <c r="P19" i="84"/>
  <c r="E14" i="84"/>
  <c r="M59" i="84"/>
  <c r="M14" i="84" s="1"/>
  <c r="F12" i="84"/>
  <c r="P20" i="87"/>
  <c r="J23" i="84"/>
  <c r="I135" i="86"/>
  <c r="V36" i="87"/>
  <c r="V10" i="87" s="1"/>
  <c r="P36" i="87"/>
  <c r="P10" i="87" s="1"/>
  <c r="J36" i="87"/>
  <c r="J10" i="87" s="1"/>
  <c r="M36" i="87"/>
  <c r="M10" i="87" s="1"/>
  <c r="Y36" i="87"/>
  <c r="Y10" i="87" s="1"/>
  <c r="S36" i="87"/>
  <c r="S10" i="87" s="1"/>
  <c r="G36" i="87"/>
  <c r="G10" i="87" s="1"/>
  <c r="R80" i="84"/>
  <c r="Q59" i="84"/>
  <c r="R59" i="84" s="1"/>
  <c r="Q110" i="84"/>
  <c r="R110" i="84" s="1"/>
  <c r="Q118" i="84"/>
  <c r="R118" i="84" s="1"/>
  <c r="Q91" i="84"/>
  <c r="R91" i="84" s="1"/>
  <c r="K23" i="84"/>
  <c r="Q40" i="84"/>
  <c r="R40" i="84" s="1"/>
  <c r="O40" i="84"/>
  <c r="O12" i="84" s="1"/>
  <c r="O19" i="84"/>
  <c r="O118" i="84"/>
  <c r="O20" i="84" s="1"/>
  <c r="M118" i="84"/>
  <c r="M20" i="84" s="1"/>
  <c r="P59" i="84"/>
  <c r="P14" i="84" s="1"/>
  <c r="P118" i="84"/>
  <c r="P20" i="84" s="1"/>
  <c r="P13" i="84"/>
  <c r="R49" i="84"/>
  <c r="I141" i="84"/>
  <c r="P22" i="84"/>
  <c r="P40" i="84"/>
  <c r="P12" i="84" s="1"/>
  <c r="L19" i="84" l="1"/>
  <c r="I21" i="86"/>
  <c r="S135" i="86"/>
  <c r="S21" i="86" s="1"/>
  <c r="F23" i="84"/>
  <c r="P23" i="84" s="1"/>
  <c r="I23" i="84"/>
  <c r="I22" i="84"/>
  <c r="L12" i="84"/>
  <c r="M12" i="84"/>
  <c r="Q141" i="84"/>
  <c r="R141" i="84" s="1"/>
  <c r="M19" i="84"/>
  <c r="H23" i="84"/>
  <c r="L22" i="84" l="1"/>
  <c r="M22" i="84"/>
  <c r="S132" i="87"/>
  <c r="P132" i="87"/>
  <c r="P18" i="87" s="1"/>
  <c r="G132" i="87"/>
  <c r="M145" i="86"/>
  <c r="K145" i="86"/>
  <c r="Q144" i="86"/>
  <c r="K144" i="86"/>
  <c r="Q143" i="86"/>
  <c r="K143" i="86"/>
  <c r="Q142" i="86"/>
  <c r="K142" i="86"/>
  <c r="K141" i="86"/>
  <c r="Q140" i="86"/>
  <c r="K140" i="86"/>
  <c r="Q139" i="86"/>
  <c r="K139" i="86"/>
  <c r="K138" i="86"/>
  <c r="Q137" i="86"/>
  <c r="K137" i="86"/>
  <c r="Q136" i="86"/>
  <c r="O136" i="86"/>
  <c r="M136" i="86"/>
  <c r="R142" i="85"/>
  <c r="R138" i="85"/>
  <c r="R134" i="85"/>
  <c r="E143" i="85"/>
  <c r="Q128" i="84"/>
  <c r="R128" i="84" s="1"/>
  <c r="Q126" i="84"/>
  <c r="R126" i="84" s="1"/>
  <c r="R146" i="86" l="1"/>
  <c r="R20" i="86" s="1"/>
  <c r="S139" i="86"/>
  <c r="I146" i="86"/>
  <c r="S143" i="86"/>
  <c r="S138" i="86"/>
  <c r="S144" i="86"/>
  <c r="S145" i="86"/>
  <c r="S136" i="86"/>
  <c r="S141" i="86"/>
  <c r="Q120" i="84"/>
  <c r="R120" i="84" s="1"/>
  <c r="Q122" i="84"/>
  <c r="R122" i="84" s="1"/>
  <c r="Q127" i="84"/>
  <c r="R127" i="84" s="1"/>
  <c r="Q123" i="84"/>
  <c r="R123" i="84" s="1"/>
  <c r="Q119" i="84"/>
  <c r="R119" i="84" s="1"/>
  <c r="Q125" i="84"/>
  <c r="R125" i="84" s="1"/>
  <c r="Q124" i="84"/>
  <c r="R124" i="84" s="1"/>
  <c r="G129" i="84"/>
  <c r="G21" i="84" s="1"/>
  <c r="G23" i="84" s="1"/>
  <c r="O127" i="84"/>
  <c r="R133" i="85"/>
  <c r="S137" i="86"/>
  <c r="S140" i="86"/>
  <c r="S142" i="86"/>
  <c r="R141" i="85"/>
  <c r="R137" i="85"/>
  <c r="T138" i="85"/>
  <c r="V138" i="85" s="1"/>
  <c r="T139" i="85"/>
  <c r="V139" i="85" s="1"/>
  <c r="T135" i="85"/>
  <c r="V135" i="85" s="1"/>
  <c r="R140" i="85"/>
  <c r="R135" i="85"/>
  <c r="T137" i="85"/>
  <c r="V137" i="85" s="1"/>
  <c r="R139" i="85"/>
  <c r="R136" i="85"/>
  <c r="I20" i="86" l="1"/>
  <c r="S146" i="86"/>
  <c r="S20" i="86" s="1"/>
  <c r="S143" i="85"/>
  <c r="S19" i="85" s="1"/>
  <c r="T141" i="85"/>
  <c r="V141" i="85" s="1"/>
  <c r="Q129" i="84"/>
  <c r="R129" i="84" s="1"/>
  <c r="L21" i="84"/>
  <c r="T133" i="85"/>
  <c r="V133" i="85" s="1"/>
  <c r="T142" i="85"/>
  <c r="V142" i="85" s="1"/>
  <c r="T134" i="85"/>
  <c r="V134" i="85" s="1"/>
  <c r="T140" i="85"/>
  <c r="V140" i="85" s="1"/>
  <c r="T136" i="85"/>
  <c r="V136" i="85" s="1"/>
  <c r="O128" i="84"/>
  <c r="O121" i="84"/>
  <c r="O120" i="84"/>
  <c r="O126" i="84"/>
  <c r="O123" i="84"/>
  <c r="O125" i="84"/>
  <c r="O124" i="84"/>
  <c r="O122" i="84"/>
  <c r="M119" i="84"/>
  <c r="T19" i="85" l="1"/>
  <c r="U19" i="85"/>
  <c r="S21" i="85"/>
  <c r="T21" i="85" s="1"/>
  <c r="U143" i="85"/>
  <c r="M21" i="84"/>
  <c r="O119" i="84"/>
  <c r="N21" i="84"/>
  <c r="V19" i="85" l="1"/>
  <c r="U21" i="85"/>
  <c r="V21" i="85" s="1"/>
  <c r="O129" i="84"/>
  <c r="O21" i="84" s="1"/>
  <c r="O59" i="84" l="1"/>
  <c r="O14" i="84" s="1"/>
  <c r="I88" i="86" l="1"/>
  <c r="L23" i="84"/>
  <c r="M23" i="84" s="1"/>
  <c r="I14" i="86" l="1"/>
  <c r="S88" i="86"/>
  <c r="S14" i="86" s="1"/>
  <c r="I75" i="86"/>
  <c r="I17" i="86" l="1"/>
  <c r="S75" i="86"/>
  <c r="S17" i="86" s="1"/>
  <c r="I63" i="86"/>
  <c r="I19" i="86" l="1"/>
  <c r="I22" i="86" s="1"/>
  <c r="S63" i="86"/>
  <c r="S19" i="86" s="1"/>
  <c r="C44" i="85"/>
  <c r="C43" i="85"/>
  <c r="C42" i="85"/>
  <c r="C41" i="85"/>
  <c r="C40" i="85"/>
  <c r="M80" i="84" l="1"/>
  <c r="M16" i="84" s="1"/>
  <c r="X43" i="85"/>
  <c r="N23" i="84" l="1"/>
  <c r="O23" i="84" s="1"/>
  <c r="Y32" i="87"/>
  <c r="Y33" i="87"/>
  <c r="Y34" i="87"/>
  <c r="Y35" i="87"/>
  <c r="S39" i="86"/>
  <c r="Q33" i="86"/>
  <c r="Q34" i="86"/>
  <c r="Q35" i="86"/>
  <c r="Q36" i="86"/>
  <c r="Q37" i="86"/>
  <c r="Q38" i="86"/>
  <c r="Q39" i="86"/>
  <c r="Q32" i="86"/>
  <c r="O32" i="86"/>
  <c r="O33" i="86"/>
  <c r="O34" i="86"/>
  <c r="O35" i="86"/>
  <c r="O36" i="86"/>
  <c r="O37" i="86"/>
  <c r="O38" i="86"/>
  <c r="O39" i="86"/>
  <c r="M49" i="84" l="1"/>
  <c r="M13" i="84" s="1"/>
  <c r="S35" i="86"/>
  <c r="S36" i="86"/>
  <c r="S37" i="86"/>
  <c r="S38" i="86"/>
  <c r="R40" i="86" l="1"/>
  <c r="S32" i="86"/>
  <c r="S34" i="86"/>
  <c r="S33" i="86"/>
  <c r="S40" i="86" l="1"/>
  <c r="S12" i="86" s="1"/>
  <c r="R12" i="86"/>
  <c r="R22" i="86" s="1"/>
  <c r="S22" i="86" s="1"/>
</calcChain>
</file>

<file path=xl/sharedStrings.xml><?xml version="1.0" encoding="utf-8"?>
<sst xmlns="http://schemas.openxmlformats.org/spreadsheetml/2006/main" count="1250" uniqueCount="257">
  <si>
    <t>NO</t>
  </si>
  <si>
    <t>%</t>
  </si>
  <si>
    <t>JUMLAH</t>
  </si>
  <si>
    <t>PUSKESMAS</t>
  </si>
  <si>
    <t>TOTAL</t>
  </si>
  <si>
    <t>SEKOLAH</t>
  </si>
  <si>
    <t>PERSENTASE SARANA AIR MINUM YANG DIAWASI/DIPERIKSA KUALITAS AIR MINUMNYA SESUAI STANDAR 
MENURUT KECAMATAN DAN PUSKESMAS</t>
  </si>
  <si>
    <t>JUMLAH SARANA AIR MINUM</t>
  </si>
  <si>
    <t>JUMLAH KK</t>
  </si>
  <si>
    <t>JUMLAH 
KK PENGGUNA</t>
  </si>
  <si>
    <t>KK SBS</t>
  </si>
  <si>
    <t>KK DENGAN AKSES TERHADAP FASILITAS SANITASI YANG LAYAK</t>
  </si>
  <si>
    <t>AKSES SANITASI AMAN</t>
  </si>
  <si>
    <t>AKSES SANITASI LAYAK SENDIRI</t>
  </si>
  <si>
    <t>AKSES LAYAK BERSAMA</t>
  </si>
  <si>
    <t>AKSES BELUM LAYAK</t>
  </si>
  <si>
    <t>BABS TERTUTUP</t>
  </si>
  <si>
    <t>BABS TERBUKA</t>
  </si>
  <si>
    <t>SANITASI TOTAL BERBASIS MASYARAKAT (STBM)</t>
  </si>
  <si>
    <t xml:space="preserve"> KK CUCI TANGAN PAKAI SABUN (CTPS)</t>
  </si>
  <si>
    <t>KK PENGELOLAAN AIR MINUM DAN MAKANAN RUMAH TANGGA (PAMMRT)</t>
  </si>
  <si>
    <t>KK PENGELOLAAN SAMPAH RUMAH TANGGA (PSRT)</t>
  </si>
  <si>
    <t>KK PENGELOLAAN LIMBAH CAIR RUMAH TANGGA (PLCRT)</t>
  </si>
  <si>
    <t>KK PENGELOLAAN KUALITAS UDARA DALAM RUMAH TANGGA (PKURT)</t>
  </si>
  <si>
    <t>KK AKSES RUMAH SEHAT</t>
  </si>
  <si>
    <t>TFU TERDAFTAR</t>
  </si>
  <si>
    <t>TFU YANG DILAKUKAN PENGAWASAN SESUAI STANDAR (IKL)</t>
  </si>
  <si>
    <t>SARANA PENDIDIKAN</t>
  </si>
  <si>
    <t>PASAR</t>
  </si>
  <si>
    <t>SD/MI</t>
  </si>
  <si>
    <t>SMP/MTs</t>
  </si>
  <si>
    <t>∑</t>
  </si>
  <si>
    <t>JASA BOGA</t>
  </si>
  <si>
    <t>RESTORAN</t>
  </si>
  <si>
    <t>TPP TERTENTU</t>
  </si>
  <si>
    <t>DEPOT AIR MINUM</t>
  </si>
  <si>
    <t>RUMAH MAKAN</t>
  </si>
  <si>
    <t>KELOMPOK GERAI PANGAN JAJANAN</t>
  </si>
  <si>
    <t>SENTRA PANGAN JAJANAN/KANTIN</t>
  </si>
  <si>
    <t>TERDAFTAR</t>
  </si>
  <si>
    <t>LAIK HSP</t>
  </si>
  <si>
    <t>2</t>
  </si>
  <si>
    <t>3</t>
  </si>
  <si>
    <t>7</t>
  </si>
  <si>
    <t>SARANA AIR MINUM YANG DIAWASI/ DIPERIKSA KUALITAS AIR MINUMNYA SESUAI STANDAR (AMAN)</t>
  </si>
  <si>
    <t>TABEL 80</t>
  </si>
  <si>
    <t>PERSENTASE KK DENGAN AKSES TERHADAP FASILITAS SANITASI YANG AMAN</t>
  </si>
  <si>
    <t>JUMLAH KEPALA KELUARGA DENGAN AKSES TERHADAP FASILITAS SANITASI YANG AMAN (JAMBAN SEHAT) MENURUT DESA DAN PUSKESMAS</t>
  </si>
  <si>
    <t>SANITASI TOTAL BERBASIS MASYARAKAT DAN RUMAH SEHAT MENURUT DESA DAN PUSKESMAS</t>
  </si>
  <si>
    <t>PERSENTASE TEMPAT DAN FASILITAS UMUM(TFU) YANG DILAKUKAN PENGAWASAN SESUAI STANDAR MENURUT DESA DAN PUSKESMAS</t>
  </si>
  <si>
    <t>PERSENTASE TEMPAT PENGELOLAAN PANGAN (TPP) YANG MEMENUHI SYARAT KESEHATAN  MENURUT DESA</t>
  </si>
  <si>
    <t>NAMA DESA</t>
  </si>
  <si>
    <t>JUMLAH RT</t>
  </si>
  <si>
    <t>NAMA KECAMATAN</t>
  </si>
  <si>
    <t>JUMLAH RT/ RW</t>
  </si>
  <si>
    <t>RT/RW STOP BABS (SBS)</t>
  </si>
  <si>
    <t xml:space="preserve"> RT/RW 5 PILAR STBM</t>
  </si>
  <si>
    <t>8</t>
  </si>
  <si>
    <t>Dusun Tengah</t>
  </si>
  <si>
    <t>DUSUN TENGAH</t>
  </si>
  <si>
    <t>SAING</t>
  </si>
  <si>
    <t>RODOK</t>
  </si>
  <si>
    <t>AMPAH DUA</t>
  </si>
  <si>
    <t>PUTAI</t>
  </si>
  <si>
    <t>AMPAH KOTA</t>
  </si>
  <si>
    <t>NETAMPIN</t>
  </si>
  <si>
    <t>MUARA AWANG</t>
  </si>
  <si>
    <t xml:space="preserve">RODOK </t>
  </si>
  <si>
    <t>S. GARUNGGUNG</t>
  </si>
  <si>
    <t>KARUSEN JANANG</t>
  </si>
  <si>
    <t>Kandris</t>
  </si>
  <si>
    <t>Sp. Naneng</t>
  </si>
  <si>
    <t>Dayu</t>
  </si>
  <si>
    <t>Lagan</t>
  </si>
  <si>
    <t>Ptt. Tawuluh</t>
  </si>
  <si>
    <t>Wuran</t>
  </si>
  <si>
    <t>Ipu Mea</t>
  </si>
  <si>
    <t>Dusun Timur</t>
  </si>
  <si>
    <t>Jaar</t>
  </si>
  <si>
    <t>Gumpa</t>
  </si>
  <si>
    <t>Mangkarap</t>
  </si>
  <si>
    <t>Matarah</t>
  </si>
  <si>
    <t>Maragut</t>
  </si>
  <si>
    <t>Matabu</t>
  </si>
  <si>
    <t>Benua Lima</t>
  </si>
  <si>
    <t>Banyu Landas</t>
  </si>
  <si>
    <t>Bagok</t>
  </si>
  <si>
    <t>Bamban</t>
  </si>
  <si>
    <t>Tewah Pupuh</t>
  </si>
  <si>
    <t>Gudang Seng</t>
  </si>
  <si>
    <t>Taniran</t>
  </si>
  <si>
    <t>Tamiang Layang</t>
  </si>
  <si>
    <t>Jaweten</t>
  </si>
  <si>
    <t>Magantis</t>
  </si>
  <si>
    <t>Dorong</t>
  </si>
  <si>
    <t>Haringen</t>
  </si>
  <si>
    <t>Karang Langit</t>
  </si>
  <si>
    <t>Sumur</t>
  </si>
  <si>
    <t>Sarapat</t>
  </si>
  <si>
    <t>Didi</t>
  </si>
  <si>
    <t>Pulau Patai</t>
  </si>
  <si>
    <t>Harara</t>
  </si>
  <si>
    <t>0</t>
  </si>
  <si>
    <t>9</t>
  </si>
  <si>
    <t>10</t>
  </si>
  <si>
    <t>11</t>
  </si>
  <si>
    <t>Paku</t>
  </si>
  <si>
    <t>Tampa</t>
  </si>
  <si>
    <t>Runggu raya</t>
  </si>
  <si>
    <t>Patung</t>
  </si>
  <si>
    <t>Kalamus</t>
  </si>
  <si>
    <t>Simpang Bingkuang</t>
  </si>
  <si>
    <t>Kupang Baru</t>
  </si>
  <si>
    <t>Luau Jawuk</t>
  </si>
  <si>
    <t>Tarinsing</t>
  </si>
  <si>
    <t>Bantai Napu</t>
  </si>
  <si>
    <t>Pangkan</t>
  </si>
  <si>
    <t>Gandrung</t>
  </si>
  <si>
    <t>Paku Beto</t>
  </si>
  <si>
    <t>12</t>
  </si>
  <si>
    <t xml:space="preserve">PAJU EPAT </t>
  </si>
  <si>
    <t>Siong</t>
  </si>
  <si>
    <t>Kalinapu</t>
  </si>
  <si>
    <t>Murutuwu</t>
  </si>
  <si>
    <t>Maipe</t>
  </si>
  <si>
    <t>Tampu Langit</t>
  </si>
  <si>
    <t>Paju Epat</t>
  </si>
  <si>
    <t>RAREN BATUAH</t>
  </si>
  <si>
    <t>UNSUM</t>
  </si>
  <si>
    <t>BARUYAN</t>
  </si>
  <si>
    <t>TURAN AMIS</t>
  </si>
  <si>
    <t>LENGGANG</t>
  </si>
  <si>
    <t>PURI</t>
  </si>
  <si>
    <t>BATUAH</t>
  </si>
  <si>
    <t>TANGKUM</t>
  </si>
  <si>
    <t>SIBUNG</t>
  </si>
  <si>
    <t>MALINTUT</t>
  </si>
  <si>
    <t>Pematang Karau</t>
  </si>
  <si>
    <t>BAMBULUNG</t>
  </si>
  <si>
    <t>BARARAWA</t>
  </si>
  <si>
    <t>KUPANG BERSIH</t>
  </si>
  <si>
    <t>KETAB</t>
  </si>
  <si>
    <t xml:space="preserve">LEBO </t>
  </si>
  <si>
    <t>LAMPEONG</t>
  </si>
  <si>
    <t>MUARA PLANTAU</t>
  </si>
  <si>
    <t>MURU DUYUNG</t>
  </si>
  <si>
    <t>NAGALEAH</t>
  </si>
  <si>
    <t>PINANG TUNGGAL</t>
  </si>
  <si>
    <t>SUMBER REJO</t>
  </si>
  <si>
    <t>TUYAU</t>
  </si>
  <si>
    <t>TUMPUNG ULUNG</t>
  </si>
  <si>
    <t>13</t>
  </si>
  <si>
    <t>Hayaping</t>
  </si>
  <si>
    <t xml:space="preserve">Keterangan </t>
  </si>
  <si>
    <t xml:space="preserve">RT </t>
  </si>
  <si>
    <t>: Rukun Warga</t>
  </si>
  <si>
    <t xml:space="preserve">Jumlah sarana </t>
  </si>
  <si>
    <t>: PDAM</t>
  </si>
  <si>
    <t>: 1 PDAM dan  bukan Jumlah Sambungan Rumah</t>
  </si>
  <si>
    <t xml:space="preserve">: PAMSIMAS </t>
  </si>
  <si>
    <t xml:space="preserve">: 1 Pamsimas bukan sambungan Rumah </t>
  </si>
  <si>
    <t>mohon yang tanda merah d cek ulang</t>
  </si>
  <si>
    <t>supaya capaian pengawasan nya baik saran untuk sarana air minum d kurangi jumlahnya karena  rendah kinerja kita .</t>
  </si>
  <si>
    <t xml:space="preserve">: Mohon di cek Ulang, karena dikatakan aman </t>
  </si>
  <si>
    <t>1. septik tank</t>
  </si>
  <si>
    <t>2. disedot 1 klai 3-5 tahun</t>
  </si>
  <si>
    <t>3. di buang ke IPLT</t>
  </si>
  <si>
    <t>Patangkep Tutui</t>
  </si>
  <si>
    <t>BENTOT</t>
  </si>
  <si>
    <t>KAMBITIN</t>
  </si>
  <si>
    <t>RAMANIA</t>
  </si>
  <si>
    <t>PULAU PADANG</t>
  </si>
  <si>
    <t>AMPARI BURA</t>
  </si>
  <si>
    <t>JANGO</t>
  </si>
  <si>
    <t>LALAP</t>
  </si>
  <si>
    <t>BETANG NALONG</t>
  </si>
  <si>
    <t xml:space="preserve">KOTAM </t>
  </si>
  <si>
    <t>MAWANI</t>
  </si>
  <si>
    <t>KOTAM</t>
  </si>
  <si>
    <t>PATANGKEP TUTUI</t>
  </si>
  <si>
    <t>Ampari</t>
  </si>
  <si>
    <t>Apar Batu</t>
  </si>
  <si>
    <t>Bangkirayen</t>
  </si>
  <si>
    <t>Biwan</t>
  </si>
  <si>
    <t>Danau</t>
  </si>
  <si>
    <t>Janah Jari</t>
  </si>
  <si>
    <t>Janah Mansiwui</t>
  </si>
  <si>
    <t>Pianggu</t>
  </si>
  <si>
    <t>Tangkan</t>
  </si>
  <si>
    <t>Wungkur Nanakan</t>
  </si>
  <si>
    <t>Awang</t>
  </si>
  <si>
    <t>Jumlah</t>
  </si>
  <si>
    <t xml:space="preserve">Jumlah </t>
  </si>
  <si>
    <t>TAMPA</t>
  </si>
  <si>
    <t>DAYU</t>
  </si>
  <si>
    <t>PAJU EPAT</t>
  </si>
  <si>
    <t>DUSUN TIMUR</t>
  </si>
  <si>
    <t>TAMIANG LAYANG</t>
  </si>
  <si>
    <t>JAAR</t>
  </si>
  <si>
    <t>BANUA LIMA</t>
  </si>
  <si>
    <t>AWANG</t>
  </si>
  <si>
    <t>HAYAPING</t>
  </si>
  <si>
    <t>PEMATANG KARAU</t>
  </si>
  <si>
    <t>AMPAH</t>
  </si>
  <si>
    <t>PAKU</t>
  </si>
  <si>
    <t>TELANG SIONG</t>
  </si>
  <si>
    <t>PASAR PANAS</t>
  </si>
  <si>
    <t>NAMA PUSKESMAS</t>
  </si>
  <si>
    <t>Telang</t>
  </si>
  <si>
    <t>Balawa</t>
  </si>
  <si>
    <t>Telang Baru</t>
  </si>
  <si>
    <t>Juru Banu</t>
  </si>
  <si>
    <t>KABUPATEN BARITO TIMUR</t>
  </si>
  <si>
    <t>Raren Batuah</t>
  </si>
  <si>
    <t>Karusen Janang</t>
  </si>
  <si>
    <t>Banua Lima</t>
  </si>
  <si>
    <t>Bambulung</t>
  </si>
  <si>
    <t>Ampah</t>
  </si>
  <si>
    <t>Unsum</t>
  </si>
  <si>
    <t>Telang Siong</t>
  </si>
  <si>
    <t>Edison Jaar</t>
  </si>
  <si>
    <t>Pasar Panas</t>
  </si>
  <si>
    <t>Bentot</t>
  </si>
  <si>
    <t>JUMLAH DESA</t>
  </si>
  <si>
    <t>DESA STOP BABS (SBS)</t>
  </si>
  <si>
    <t>jumlah</t>
  </si>
  <si>
    <t>DESA 5 PILAR STBM</t>
  </si>
  <si>
    <t xml:space="preserve">   </t>
  </si>
  <si>
    <t>AMPAH DAUA</t>
  </si>
  <si>
    <t>SUMBER GARUNGGUNG</t>
  </si>
  <si>
    <t>MURUTUWU</t>
  </si>
  <si>
    <t>TELANG</t>
  </si>
  <si>
    <t>SIONG</t>
  </si>
  <si>
    <t xml:space="preserve">MAIPE </t>
  </si>
  <si>
    <t>BALAWA/hepung</t>
  </si>
  <si>
    <t>TAMPULANGIT</t>
  </si>
  <si>
    <t>KALINAPU</t>
  </si>
  <si>
    <t>JURU BANU</t>
  </si>
  <si>
    <t>TELANG BARU</t>
  </si>
  <si>
    <t>BALAWA</t>
  </si>
  <si>
    <t>HEPUNG</t>
  </si>
  <si>
    <t>CSR : bambulung PT BKI</t>
  </si>
  <si>
    <t xml:space="preserve">Sumur Gali </t>
  </si>
  <si>
    <t xml:space="preserve">5 buah </t>
  </si>
  <si>
    <t xml:space="preserve">75 KK RT 03, </t>
  </si>
  <si>
    <t>DAM rusak</t>
  </si>
  <si>
    <t>PAMsimas, Pok Air jangak jalan</t>
  </si>
  <si>
    <t>Pamsimas tidak jaln</t>
  </si>
  <si>
    <t>PAMsimas</t>
  </si>
  <si>
    <t>POK Air tidak jalan</t>
  </si>
  <si>
    <t>RT</t>
  </si>
  <si>
    <t>DUSUN TIMUR 1</t>
  </si>
  <si>
    <t>BENUA LIMA</t>
  </si>
  <si>
    <t>PEMANTANG KARAU</t>
  </si>
  <si>
    <t xml:space="preserve"> </t>
  </si>
  <si>
    <t>Tahun 2026</t>
  </si>
  <si>
    <t>TAHUN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</si>
</sst>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(* #,##0.00_);_(* \(#,##0.00\);_(* &quot;-&quot;??_);_(@_)"/>
    <numFmt numFmtId="166" formatCode="0.0"/>
    <numFmt numFmtId="169" formatCode="_(* #,##0_);_(* \(#,##0\);_(* &quot;-&quot;??_);_(@_)"/>
    <numFmt numFmtId="170" formatCode="#,##0_);\!\(#,##0\!\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C0000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rgb="FF000000"/>
      <name val="Arial"/>
      <family val="2"/>
    </font>
    <font>
      <b/>
      <sz val="12"/>
      <name val="Calibri"/>
      <family val="2"/>
    </font>
    <font>
      <b/>
      <sz val="14"/>
      <name val="Arial"/>
      <family val="2"/>
    </font>
    <font>
      <b/>
      <sz val="12"/>
      <color theme="1"/>
      <name val="Arial"/>
      <family val="2"/>
    </font>
    <font>
      <b/>
      <i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4"/>
      <name val="Arial"/>
      <family val="2"/>
    </font>
    <font>
      <sz val="14"/>
      <name val="Arial"/>
      <family val="2"/>
    </font>
    <font>
      <sz val="12"/>
      <color indexed="8"/>
      <name val="Arial"/>
      <family val="2"/>
    </font>
    <font>
      <b/>
      <i/>
      <sz val="12"/>
      <color rgb="FF000000"/>
      <name val="Arial"/>
      <family val="2"/>
    </font>
    <font>
      <b/>
      <i/>
      <sz val="12"/>
      <name val="Arial"/>
      <family val="2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4"/>
      <color rgb="FF000000"/>
      <name val="Arial"/>
      <family val="2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4"/>
      <color theme="1"/>
      <name val="Calibri"/>
      <family val="2"/>
    </font>
    <font>
      <sz val="14"/>
      <color indexed="8"/>
      <name val="Arial"/>
      <family val="2"/>
    </font>
    <font>
      <b/>
      <sz val="14"/>
      <color rgb="FF000000"/>
      <name val="Arial"/>
      <family val="2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51"/>
      </patternFill>
    </fill>
    <fill>
      <patternFill patternType="solid">
        <fgColor indexed="1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14999847407452621"/>
        <bgColor rgb="FF000000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4">
    <xf numFmtId="0" fontId="0" fillId="0" borderId="0"/>
    <xf numFmtId="0" fontId="2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2" fillId="0" borderId="0"/>
    <xf numFmtId="0" fontId="20" fillId="0" borderId="0"/>
    <xf numFmtId="164" fontId="1" fillId="0" borderId="0" applyFont="0" applyFill="0" applyBorder="0" applyAlignment="0" applyProtection="0"/>
  </cellStyleXfs>
  <cellXfs count="764">
    <xf numFmtId="0" fontId="0" fillId="0" borderId="0" xfId="0"/>
    <xf numFmtId="0" fontId="4" fillId="0" borderId="0" xfId="3" applyFont="1" applyAlignment="1">
      <alignment vertical="center"/>
    </xf>
    <xf numFmtId="0" fontId="4" fillId="0" borderId="9" xfId="3" applyFont="1" applyBorder="1" applyAlignment="1">
      <alignment vertical="center"/>
    </xf>
    <xf numFmtId="0" fontId="4" fillId="0" borderId="7" xfId="3" applyFont="1" applyBorder="1" applyAlignment="1">
      <alignment vertical="center"/>
    </xf>
    <xf numFmtId="0" fontId="4" fillId="0" borderId="0" xfId="1" applyFont="1" applyAlignment="1">
      <alignment vertical="center"/>
    </xf>
    <xf numFmtId="0" fontId="4" fillId="0" borderId="5" xfId="3" applyFont="1" applyBorder="1" applyAlignment="1">
      <alignment vertical="center"/>
    </xf>
    <xf numFmtId="0" fontId="3" fillId="0" borderId="0" xfId="3" applyFont="1" applyAlignment="1">
      <alignment vertical="center"/>
    </xf>
    <xf numFmtId="0" fontId="4" fillId="0" borderId="0" xfId="3" applyFont="1"/>
    <xf numFmtId="0" fontId="7" fillId="0" borderId="0" xfId="1" applyFont="1" applyAlignment="1">
      <alignment horizontal="center"/>
    </xf>
    <xf numFmtId="0" fontId="7" fillId="0" borderId="0" xfId="1" applyFont="1"/>
    <xf numFmtId="0" fontId="8" fillId="0" borderId="0" xfId="1" applyFont="1"/>
    <xf numFmtId="0" fontId="9" fillId="0" borderId="0" xfId="1" applyFont="1"/>
    <xf numFmtId="0" fontId="4" fillId="0" borderId="0" xfId="3" applyFont="1" applyAlignment="1">
      <alignment horizontal="center"/>
    </xf>
    <xf numFmtId="0" fontId="4" fillId="0" borderId="0" xfId="3" applyFont="1" applyAlignment="1">
      <alignment horizontal="center" vertical="center"/>
    </xf>
    <xf numFmtId="0" fontId="8" fillId="0" borderId="0" xfId="1" applyFont="1" applyAlignment="1">
      <alignment horizontal="center"/>
    </xf>
    <xf numFmtId="0" fontId="14" fillId="0" borderId="5" xfId="3" applyFont="1" applyBorder="1" applyAlignment="1">
      <alignment horizontal="center" vertical="center" wrapText="1"/>
    </xf>
    <xf numFmtId="0" fontId="15" fillId="0" borderId="0" xfId="3" applyFont="1" applyAlignment="1">
      <alignment vertical="center"/>
    </xf>
    <xf numFmtId="0" fontId="8" fillId="0" borderId="0" xfId="1" applyFont="1" applyAlignment="1">
      <alignment horizontal="center" vertical="center"/>
    </xf>
    <xf numFmtId="0" fontId="3" fillId="0" borderId="0" xfId="3" applyFont="1"/>
    <xf numFmtId="0" fontId="3" fillId="0" borderId="1" xfId="3" applyFont="1" applyBorder="1" applyAlignment="1">
      <alignment horizontal="center" vertical="center"/>
    </xf>
    <xf numFmtId="0" fontId="17" fillId="0" borderId="1" xfId="1" applyFont="1" applyBorder="1" applyAlignment="1">
      <alignment horizontal="center" vertical="center"/>
    </xf>
    <xf numFmtId="0" fontId="16" fillId="0" borderId="0" xfId="1" applyFont="1"/>
    <xf numFmtId="0" fontId="17" fillId="0" borderId="1" xfId="3" applyFont="1" applyBorder="1" applyAlignment="1">
      <alignment horizontal="center" vertical="center"/>
    </xf>
    <xf numFmtId="0" fontId="18" fillId="0" borderId="0" xfId="3" applyFont="1" applyAlignment="1">
      <alignment vertical="center"/>
    </xf>
    <xf numFmtId="0" fontId="18" fillId="0" borderId="0" xfId="3" applyFont="1" applyAlignment="1">
      <alignment horizontal="center" vertical="center"/>
    </xf>
    <xf numFmtId="0" fontId="18" fillId="0" borderId="0" xfId="3" applyFont="1"/>
    <xf numFmtId="0" fontId="17" fillId="0" borderId="1" xfId="3" applyFont="1" applyBorder="1" applyAlignment="1">
      <alignment horizontal="center"/>
    </xf>
    <xf numFmtId="0" fontId="19" fillId="0" borderId="0" xfId="1" applyFont="1"/>
    <xf numFmtId="0" fontId="17" fillId="4" borderId="1" xfId="3" applyFont="1" applyFill="1" applyBorder="1" applyAlignment="1">
      <alignment horizontal="center" vertical="center"/>
    </xf>
    <xf numFmtId="0" fontId="15" fillId="0" borderId="0" xfId="3" quotePrefix="1" applyFont="1" applyAlignment="1">
      <alignment horizontal="left" vertical="center"/>
    </xf>
    <xf numFmtId="0" fontId="22" fillId="0" borderId="0" xfId="3" applyFont="1" applyAlignment="1">
      <alignment vertical="center"/>
    </xf>
    <xf numFmtId="0" fontId="21" fillId="0" borderId="1" xfId="3" applyFont="1" applyBorder="1" applyAlignment="1">
      <alignment horizontal="center" vertical="center"/>
    </xf>
    <xf numFmtId="0" fontId="22" fillId="0" borderId="5" xfId="3" applyFont="1" applyBorder="1" applyAlignment="1">
      <alignment horizontal="center" vertical="center"/>
    </xf>
    <xf numFmtId="0" fontId="22" fillId="0" borderId="5" xfId="3" applyFont="1" applyBorder="1" applyAlignment="1">
      <alignment horizontal="left" vertical="center"/>
    </xf>
    <xf numFmtId="0" fontId="22" fillId="0" borderId="7" xfId="3" applyFont="1" applyBorder="1" applyAlignment="1">
      <alignment horizontal="center" vertical="center"/>
    </xf>
    <xf numFmtId="0" fontId="22" fillId="0" borderId="7" xfId="3" applyFont="1" applyBorder="1" applyAlignment="1">
      <alignment horizontal="left" vertical="center"/>
    </xf>
    <xf numFmtId="0" fontId="22" fillId="0" borderId="7" xfId="3" applyFont="1" applyBorder="1" applyAlignment="1">
      <alignment vertical="center"/>
    </xf>
    <xf numFmtId="0" fontId="3" fillId="0" borderId="5" xfId="3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/>
    </xf>
    <xf numFmtId="0" fontId="8" fillId="0" borderId="5" xfId="3" applyFont="1" applyBorder="1" applyAlignment="1">
      <alignment horizontal="center" vertical="center" wrapText="1"/>
    </xf>
    <xf numFmtId="0" fontId="8" fillId="0" borderId="7" xfId="3" applyFont="1" applyBorder="1" applyAlignment="1">
      <alignment horizontal="center" vertical="center" wrapText="1"/>
    </xf>
    <xf numFmtId="0" fontId="8" fillId="0" borderId="7" xfId="3" applyFont="1" applyBorder="1" applyAlignment="1">
      <alignment horizontal="center" vertical="center"/>
    </xf>
    <xf numFmtId="0" fontId="4" fillId="0" borderId="5" xfId="3" applyFont="1" applyBorder="1" applyAlignment="1">
      <alignment horizontal="center" vertical="center"/>
    </xf>
    <xf numFmtId="0" fontId="4" fillId="0" borderId="7" xfId="3" applyFont="1" applyBorder="1" applyAlignment="1">
      <alignment horizontal="center" vertical="center"/>
    </xf>
    <xf numFmtId="0" fontId="25" fillId="0" borderId="1" xfId="3" applyFont="1" applyBorder="1" applyAlignment="1">
      <alignment horizontal="center" vertical="center"/>
    </xf>
    <xf numFmtId="169" fontId="4" fillId="0" borderId="7" xfId="10" applyNumberFormat="1" applyFont="1" applyBorder="1" applyAlignment="1">
      <alignment horizontal="center" vertical="center"/>
    </xf>
    <xf numFmtId="169" fontId="4" fillId="0" borderId="14" xfId="10" applyNumberFormat="1" applyFont="1" applyBorder="1" applyAlignment="1">
      <alignment horizontal="center" vertical="center"/>
    </xf>
    <xf numFmtId="0" fontId="17" fillId="0" borderId="5" xfId="3" applyFont="1" applyBorder="1" applyAlignment="1">
      <alignment horizontal="center" vertical="center"/>
    </xf>
    <xf numFmtId="1" fontId="17" fillId="0" borderId="5" xfId="3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0" fontId="22" fillId="0" borderId="5" xfId="3" applyFont="1" applyBorder="1" applyAlignment="1">
      <alignment vertical="center"/>
    </xf>
    <xf numFmtId="0" fontId="4" fillId="0" borderId="0" xfId="3" applyFont="1" applyAlignment="1">
      <alignment horizontal="center" vertical="top"/>
    </xf>
    <xf numFmtId="0" fontId="22" fillId="0" borderId="0" xfId="3" applyFont="1" applyAlignment="1">
      <alignment horizontal="center" vertical="top"/>
    </xf>
    <xf numFmtId="0" fontId="22" fillId="0" borderId="0" xfId="3" applyFont="1"/>
    <xf numFmtId="0" fontId="22" fillId="0" borderId="6" xfId="3" applyFont="1" applyBorder="1" applyAlignment="1">
      <alignment horizontal="center" vertical="center"/>
    </xf>
    <xf numFmtId="0" fontId="22" fillId="0" borderId="6" xfId="3" applyFont="1" applyBorder="1" applyAlignment="1">
      <alignment horizontal="left" vertical="center"/>
    </xf>
    <xf numFmtId="0" fontId="22" fillId="0" borderId="0" xfId="3" applyFont="1" applyAlignment="1">
      <alignment horizontal="center" vertical="center"/>
    </xf>
    <xf numFmtId="0" fontId="22" fillId="0" borderId="0" xfId="3" applyFont="1" applyAlignment="1">
      <alignment horizontal="center"/>
    </xf>
    <xf numFmtId="0" fontId="4" fillId="0" borderId="6" xfId="3" applyFont="1" applyBorder="1" applyAlignment="1">
      <alignment vertical="center"/>
    </xf>
    <xf numFmtId="0" fontId="8" fillId="0" borderId="5" xfId="3" applyFont="1" applyBorder="1" applyAlignment="1">
      <alignment horizontal="left" vertical="center" wrapText="1"/>
    </xf>
    <xf numFmtId="0" fontId="4" fillId="0" borderId="5" xfId="3" applyFont="1" applyBorder="1" applyAlignment="1">
      <alignment horizontal="left" vertical="center"/>
    </xf>
    <xf numFmtId="0" fontId="8" fillId="0" borderId="7" xfId="3" applyFont="1" applyBorder="1" applyAlignment="1">
      <alignment horizontal="left" vertical="center" wrapText="1"/>
    </xf>
    <xf numFmtId="0" fontId="4" fillId="0" borderId="7" xfId="3" applyFont="1" applyBorder="1" applyAlignment="1">
      <alignment horizontal="left" vertical="center"/>
    </xf>
    <xf numFmtId="0" fontId="8" fillId="0" borderId="7" xfId="3" applyFont="1" applyBorder="1" applyAlignment="1">
      <alignment horizontal="left" vertical="center"/>
    </xf>
    <xf numFmtId="0" fontId="8" fillId="0" borderId="6" xfId="3" applyFont="1" applyBorder="1" applyAlignment="1">
      <alignment horizontal="left" vertical="center" wrapText="1"/>
    </xf>
    <xf numFmtId="0" fontId="4" fillId="0" borderId="6" xfId="3" applyFont="1" applyBorder="1" applyAlignment="1">
      <alignment horizontal="left" vertical="center"/>
    </xf>
    <xf numFmtId="37" fontId="4" fillId="0" borderId="7" xfId="1" applyNumberFormat="1" applyFont="1" applyBorder="1" applyAlignment="1">
      <alignment horizontal="center" vertical="center"/>
    </xf>
    <xf numFmtId="0" fontId="4" fillId="0" borderId="7" xfId="3" applyFont="1" applyBorder="1"/>
    <xf numFmtId="0" fontId="4" fillId="0" borderId="6" xfId="3" applyFont="1" applyBorder="1" applyAlignment="1">
      <alignment horizontal="center" vertical="center"/>
    </xf>
    <xf numFmtId="0" fontId="4" fillId="0" borderId="20" xfId="3" applyFont="1" applyBorder="1" applyAlignment="1">
      <alignment horizontal="center" vertical="center"/>
    </xf>
    <xf numFmtId="0" fontId="4" fillId="0" borderId="5" xfId="3" applyFont="1" applyBorder="1" applyAlignment="1">
      <alignment horizontal="center"/>
    </xf>
    <xf numFmtId="0" fontId="4" fillId="0" borderId="7" xfId="3" applyFont="1" applyBorder="1" applyAlignment="1">
      <alignment horizontal="center"/>
    </xf>
    <xf numFmtId="0" fontId="4" fillId="0" borderId="6" xfId="3" applyFont="1" applyBorder="1" applyAlignment="1">
      <alignment horizontal="center"/>
    </xf>
    <xf numFmtId="0" fontId="4" fillId="0" borderId="0" xfId="3" applyFont="1" applyAlignment="1">
      <alignment vertical="top"/>
    </xf>
    <xf numFmtId="0" fontId="18" fillId="0" borderId="5" xfId="3" applyFont="1" applyBorder="1" applyAlignment="1">
      <alignment vertical="top"/>
    </xf>
    <xf numFmtId="0" fontId="4" fillId="0" borderId="7" xfId="3" applyFont="1" applyBorder="1" applyAlignment="1">
      <alignment vertical="top"/>
    </xf>
    <xf numFmtId="0" fontId="4" fillId="0" borderId="6" xfId="3" applyFont="1" applyBorder="1" applyAlignment="1">
      <alignment vertical="top"/>
    </xf>
    <xf numFmtId="0" fontId="4" fillId="0" borderId="5" xfId="3" applyFont="1" applyBorder="1" applyAlignment="1">
      <alignment vertical="top"/>
    </xf>
    <xf numFmtId="0" fontId="4" fillId="0" borderId="0" xfId="1" applyFont="1"/>
    <xf numFmtId="0" fontId="8" fillId="0" borderId="6" xfId="3" applyFont="1" applyBorder="1" applyAlignment="1">
      <alignment horizontal="center" vertical="center" wrapText="1"/>
    </xf>
    <xf numFmtId="0" fontId="17" fillId="0" borderId="7" xfId="1" applyFont="1" applyBorder="1" applyAlignment="1">
      <alignment horizontal="center" vertical="center"/>
    </xf>
    <xf numFmtId="0" fontId="4" fillId="0" borderId="7" xfId="10" applyNumberFormat="1" applyFont="1" applyBorder="1" applyAlignment="1">
      <alignment horizontal="center" vertical="center"/>
    </xf>
    <xf numFmtId="0" fontId="4" fillId="0" borderId="20" xfId="3" applyFont="1" applyBorder="1" applyAlignment="1">
      <alignment vertical="top"/>
    </xf>
    <xf numFmtId="0" fontId="4" fillId="0" borderId="7" xfId="1" applyFont="1" applyBorder="1" applyAlignment="1">
      <alignment horizontal="center" vertical="center"/>
    </xf>
    <xf numFmtId="37" fontId="22" fillId="0" borderId="7" xfId="1" applyNumberFormat="1" applyFont="1" applyBorder="1" applyAlignment="1">
      <alignment horizontal="center"/>
    </xf>
    <xf numFmtId="0" fontId="27" fillId="0" borderId="7" xfId="0" applyFont="1" applyBorder="1" applyAlignment="1">
      <alignment horizontal="center" vertical="center"/>
    </xf>
    <xf numFmtId="0" fontId="22" fillId="0" borderId="0" xfId="3" applyFont="1" applyAlignment="1">
      <alignment horizontal="left" vertical="center"/>
    </xf>
    <xf numFmtId="0" fontId="7" fillId="0" borderId="0" xfId="1" applyFont="1" applyAlignment="1">
      <alignment horizontal="center" vertical="center"/>
    </xf>
    <xf numFmtId="0" fontId="8" fillId="5" borderId="7" xfId="3" applyFont="1" applyFill="1" applyBorder="1" applyAlignment="1">
      <alignment horizontal="center" vertical="center" wrapText="1"/>
    </xf>
    <xf numFmtId="0" fontId="4" fillId="7" borderId="1" xfId="3" applyFont="1" applyFill="1" applyBorder="1" applyAlignment="1">
      <alignment vertical="top"/>
    </xf>
    <xf numFmtId="0" fontId="8" fillId="7" borderId="1" xfId="3" applyFont="1" applyFill="1" applyBorder="1" applyAlignment="1">
      <alignment horizontal="center" vertical="center" wrapText="1"/>
    </xf>
    <xf numFmtId="0" fontId="4" fillId="7" borderId="1" xfId="3" applyFont="1" applyFill="1" applyBorder="1" applyAlignment="1">
      <alignment horizontal="center" vertical="center"/>
    </xf>
    <xf numFmtId="0" fontId="4" fillId="7" borderId="1" xfId="3" applyFont="1" applyFill="1" applyBorder="1" applyAlignment="1">
      <alignment horizontal="left" vertical="center"/>
    </xf>
    <xf numFmtId="0" fontId="22" fillId="7" borderId="7" xfId="3" applyFont="1" applyFill="1" applyBorder="1" applyAlignment="1">
      <alignment horizontal="center" vertical="center"/>
    </xf>
    <xf numFmtId="1" fontId="22" fillId="7" borderId="1" xfId="3" applyNumberFormat="1" applyFont="1" applyFill="1" applyBorder="1" applyAlignment="1">
      <alignment horizontal="center" vertical="center"/>
    </xf>
    <xf numFmtId="0" fontId="22" fillId="7" borderId="1" xfId="3" applyFont="1" applyFill="1" applyBorder="1" applyAlignment="1">
      <alignment horizontal="center" vertical="center"/>
    </xf>
    <xf numFmtId="1" fontId="22" fillId="7" borderId="7" xfId="3" applyNumberFormat="1" applyFont="1" applyFill="1" applyBorder="1" applyAlignment="1">
      <alignment horizontal="center" vertical="center"/>
    </xf>
    <xf numFmtId="0" fontId="22" fillId="0" borderId="7" xfId="3" applyFont="1" applyBorder="1"/>
    <xf numFmtId="0" fontId="22" fillId="7" borderId="6" xfId="3" applyFont="1" applyFill="1" applyBorder="1" applyAlignment="1">
      <alignment vertical="top"/>
    </xf>
    <xf numFmtId="0" fontId="22" fillId="7" borderId="6" xfId="3" applyFont="1" applyFill="1" applyBorder="1" applyAlignment="1">
      <alignment vertical="center"/>
    </xf>
    <xf numFmtId="1" fontId="22" fillId="6" borderId="1" xfId="3" applyNumberFormat="1" applyFont="1" applyFill="1" applyBorder="1" applyAlignment="1">
      <alignment horizontal="center" vertical="center"/>
    </xf>
    <xf numFmtId="37" fontId="4" fillId="7" borderId="1" xfId="1" applyNumberFormat="1" applyFont="1" applyFill="1" applyBorder="1" applyAlignment="1">
      <alignment horizontal="center" vertical="center"/>
    </xf>
    <xf numFmtId="0" fontId="4" fillId="7" borderId="1" xfId="1" applyFont="1" applyFill="1" applyBorder="1" applyAlignment="1">
      <alignment horizontal="center" vertical="center"/>
    </xf>
    <xf numFmtId="0" fontId="4" fillId="7" borderId="1" xfId="3" applyFont="1" applyFill="1" applyBorder="1" applyAlignment="1">
      <alignment horizontal="center"/>
    </xf>
    <xf numFmtId="0" fontId="4" fillId="7" borderId="1" xfId="3" applyFont="1" applyFill="1" applyBorder="1"/>
    <xf numFmtId="0" fontId="7" fillId="0" borderId="1" xfId="0" applyFont="1" applyBorder="1" applyAlignment="1">
      <alignment horizontal="center" vertical="center"/>
    </xf>
    <xf numFmtId="0" fontId="4" fillId="7" borderId="7" xfId="3" applyFont="1" applyFill="1" applyBorder="1" applyAlignment="1">
      <alignment horizontal="left" vertical="center"/>
    </xf>
    <xf numFmtId="1" fontId="22" fillId="7" borderId="5" xfId="3" applyNumberFormat="1" applyFont="1" applyFill="1" applyBorder="1" applyAlignment="1">
      <alignment horizontal="center" vertical="center"/>
    </xf>
    <xf numFmtId="1" fontId="22" fillId="0" borderId="0" xfId="3" applyNumberFormat="1" applyFont="1"/>
    <xf numFmtId="0" fontId="15" fillId="0" borderId="1" xfId="3" applyFont="1" applyBorder="1" applyAlignment="1">
      <alignment horizontal="center" vertical="center"/>
    </xf>
    <xf numFmtId="0" fontId="22" fillId="0" borderId="1" xfId="3" applyFont="1" applyBorder="1" applyAlignment="1">
      <alignment horizontal="center" vertical="center"/>
    </xf>
    <xf numFmtId="0" fontId="22" fillId="0" borderId="0" xfId="3" applyFont="1" applyAlignment="1">
      <alignment vertical="top"/>
    </xf>
    <xf numFmtId="1" fontId="26" fillId="0" borderId="0" xfId="0" applyNumberFormat="1" applyFont="1" applyAlignment="1">
      <alignment horizontal="center" vertical="center"/>
    </xf>
    <xf numFmtId="1" fontId="22" fillId="0" borderId="0" xfId="3" applyNumberFormat="1" applyFont="1" applyAlignment="1">
      <alignment horizontal="center" vertical="center"/>
    </xf>
    <xf numFmtId="164" fontId="22" fillId="0" borderId="0" xfId="23" applyFont="1" applyBorder="1" applyAlignment="1">
      <alignment horizontal="center" vertical="center"/>
    </xf>
    <xf numFmtId="164" fontId="26" fillId="0" borderId="0" xfId="23" applyFont="1" applyBorder="1" applyAlignment="1">
      <alignment horizontal="center" vertical="center"/>
    </xf>
    <xf numFmtId="0" fontId="22" fillId="4" borderId="7" xfId="3" applyFont="1" applyFill="1" applyBorder="1" applyAlignment="1">
      <alignment horizontal="left" vertical="center"/>
    </xf>
    <xf numFmtId="1" fontId="22" fillId="0" borderId="7" xfId="3" applyNumberFormat="1" applyFont="1" applyBorder="1" applyAlignment="1">
      <alignment horizontal="left" vertical="center"/>
    </xf>
    <xf numFmtId="0" fontId="31" fillId="0" borderId="24" xfId="0" applyFont="1" applyBorder="1" applyAlignment="1">
      <alignment horizontal="right" vertical="center"/>
    </xf>
    <xf numFmtId="0" fontId="31" fillId="0" borderId="24" xfId="0" applyFont="1" applyBorder="1" applyAlignment="1">
      <alignment horizontal="right" vertical="center" wrapText="1"/>
    </xf>
    <xf numFmtId="0" fontId="31" fillId="0" borderId="24" xfId="0" applyFont="1" applyBorder="1" applyAlignment="1">
      <alignment horizontal="center" vertical="center" wrapText="1"/>
    </xf>
    <xf numFmtId="0" fontId="31" fillId="0" borderId="24" xfId="0" applyFont="1" applyBorder="1" applyAlignment="1">
      <alignment vertical="center"/>
    </xf>
    <xf numFmtId="1" fontId="22" fillId="0" borderId="6" xfId="3" applyNumberFormat="1" applyFont="1" applyBorder="1" applyAlignment="1">
      <alignment horizontal="left" vertical="center"/>
    </xf>
    <xf numFmtId="164" fontId="26" fillId="0" borderId="20" xfId="23" applyFont="1" applyBorder="1" applyAlignment="1">
      <alignment horizontal="center" vertical="center"/>
    </xf>
    <xf numFmtId="0" fontId="22" fillId="8" borderId="1" xfId="3" applyFont="1" applyFill="1" applyBorder="1" applyAlignment="1">
      <alignment horizontal="center" vertical="center"/>
    </xf>
    <xf numFmtId="0" fontId="22" fillId="8" borderId="1" xfId="3" applyFont="1" applyFill="1" applyBorder="1" applyAlignment="1">
      <alignment horizontal="left" vertical="center"/>
    </xf>
    <xf numFmtId="0" fontId="4" fillId="8" borderId="1" xfId="3" applyFont="1" applyFill="1" applyBorder="1" applyAlignment="1">
      <alignment horizontal="center" vertical="center"/>
    </xf>
    <xf numFmtId="0" fontId="4" fillId="0" borderId="1" xfId="3" applyFont="1" applyBorder="1" applyAlignment="1">
      <alignment vertical="top"/>
    </xf>
    <xf numFmtId="0" fontId="3" fillId="0" borderId="1" xfId="3" applyFont="1" applyBorder="1" applyAlignment="1">
      <alignment horizontal="center" vertical="center" wrapText="1"/>
    </xf>
    <xf numFmtId="0" fontId="13" fillId="0" borderId="1" xfId="3" applyFont="1" applyBorder="1" applyAlignment="1">
      <alignment horizontal="center" vertical="center"/>
    </xf>
    <xf numFmtId="37" fontId="4" fillId="0" borderId="1" xfId="1" applyNumberFormat="1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3" fontId="22" fillId="0" borderId="1" xfId="7" applyNumberFormat="1" applyFont="1" applyBorder="1" applyAlignment="1">
      <alignment horizontal="center" vertical="center"/>
    </xf>
    <xf numFmtId="166" fontId="22" fillId="0" borderId="1" xfId="7" applyNumberFormat="1" applyFont="1" applyBorder="1" applyAlignment="1">
      <alignment horizontal="center" vertical="center"/>
    </xf>
    <xf numFmtId="1" fontId="22" fillId="0" borderId="1" xfId="7" applyNumberFormat="1" applyFont="1" applyBorder="1" applyAlignment="1">
      <alignment horizontal="center" vertical="center"/>
    </xf>
    <xf numFmtId="1" fontId="22" fillId="0" borderId="1" xfId="10" applyNumberFormat="1" applyFont="1" applyBorder="1" applyAlignment="1">
      <alignment horizontal="center" vertical="center"/>
    </xf>
    <xf numFmtId="0" fontId="4" fillId="7" borderId="7" xfId="3" applyFont="1" applyFill="1" applyBorder="1" applyAlignment="1">
      <alignment vertical="top"/>
    </xf>
    <xf numFmtId="0" fontId="7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 vertical="center"/>
    </xf>
    <xf numFmtId="0" fontId="4" fillId="7" borderId="1" xfId="3" applyFont="1" applyFill="1" applyBorder="1" applyAlignment="1">
      <alignment horizontal="left"/>
    </xf>
    <xf numFmtId="0" fontId="8" fillId="7" borderId="7" xfId="3" applyFont="1" applyFill="1" applyBorder="1" applyAlignment="1">
      <alignment horizontal="center" vertical="center" wrapText="1"/>
    </xf>
    <xf numFmtId="0" fontId="4" fillId="7" borderId="1" xfId="10" applyNumberFormat="1" applyFont="1" applyFill="1" applyBorder="1" applyAlignment="1">
      <alignment horizontal="center" vertical="center"/>
    </xf>
    <xf numFmtId="0" fontId="8" fillId="7" borderId="1" xfId="3" applyFont="1" applyFill="1" applyBorder="1" applyAlignment="1">
      <alignment horizontal="left" vertical="center" wrapText="1"/>
    </xf>
    <xf numFmtId="0" fontId="4" fillId="7" borderId="5" xfId="3" applyFont="1" applyFill="1" applyBorder="1" applyAlignment="1">
      <alignment horizontal="center" vertical="center"/>
    </xf>
    <xf numFmtId="1" fontId="4" fillId="0" borderId="7" xfId="1" applyNumberFormat="1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37" fontId="22" fillId="7" borderId="1" xfId="1" applyNumberFormat="1" applyFont="1" applyFill="1" applyBorder="1" applyAlignment="1">
      <alignment horizontal="center"/>
    </xf>
    <xf numFmtId="0" fontId="22" fillId="7" borderId="1" xfId="3" applyFont="1" applyFill="1" applyBorder="1" applyAlignment="1">
      <alignment horizontal="center"/>
    </xf>
    <xf numFmtId="1" fontId="22" fillId="7" borderId="1" xfId="3" applyNumberFormat="1" applyFont="1" applyFill="1" applyBorder="1" applyAlignment="1">
      <alignment horizontal="center"/>
    </xf>
    <xf numFmtId="166" fontId="22" fillId="7" borderId="1" xfId="3" applyNumberFormat="1" applyFont="1" applyFill="1" applyBorder="1" applyAlignment="1">
      <alignment horizontal="center"/>
    </xf>
    <xf numFmtId="2" fontId="22" fillId="7" borderId="1" xfId="3" applyNumberFormat="1" applyFont="1" applyFill="1" applyBorder="1" applyAlignment="1">
      <alignment horizontal="center"/>
    </xf>
    <xf numFmtId="0" fontId="22" fillId="7" borderId="2" xfId="3" applyFont="1" applyFill="1" applyBorder="1" applyAlignment="1">
      <alignment horizontal="center" vertical="top"/>
    </xf>
    <xf numFmtId="0" fontId="22" fillId="7" borderId="2" xfId="3" applyFont="1" applyFill="1" applyBorder="1" applyAlignment="1">
      <alignment vertical="center"/>
    </xf>
    <xf numFmtId="37" fontId="22" fillId="0" borderId="1" xfId="3" applyNumberFormat="1" applyFont="1" applyBorder="1" applyAlignment="1">
      <alignment horizontal="center" vertical="center"/>
    </xf>
    <xf numFmtId="37" fontId="22" fillId="0" borderId="1" xfId="1" applyNumberFormat="1" applyFont="1" applyBorder="1" applyAlignment="1">
      <alignment horizontal="center"/>
    </xf>
    <xf numFmtId="1" fontId="22" fillId="0" borderId="1" xfId="3" applyNumberFormat="1" applyFont="1" applyBorder="1" applyAlignment="1">
      <alignment horizontal="center"/>
    </xf>
    <xf numFmtId="0" fontId="4" fillId="0" borderId="1" xfId="3" applyFont="1" applyBorder="1" applyAlignment="1">
      <alignment horizontal="center" vertical="top"/>
    </xf>
    <xf numFmtId="0" fontId="22" fillId="8" borderId="1" xfId="0" applyFont="1" applyFill="1" applyBorder="1" applyAlignment="1">
      <alignment horizontal="left" vertical="center"/>
    </xf>
    <xf numFmtId="1" fontId="22" fillId="8" borderId="1" xfId="10" applyNumberFormat="1" applyFont="1" applyFill="1" applyBorder="1" applyAlignment="1">
      <alignment horizontal="center" vertical="center"/>
    </xf>
    <xf numFmtId="37" fontId="4" fillId="0" borderId="0" xfId="3" applyNumberFormat="1" applyFont="1" applyAlignment="1">
      <alignment vertical="center"/>
    </xf>
    <xf numFmtId="0" fontId="18" fillId="0" borderId="20" xfId="3" applyFont="1" applyBorder="1"/>
    <xf numFmtId="1" fontId="22" fillId="0" borderId="20" xfId="3" applyNumberFormat="1" applyFont="1" applyBorder="1"/>
    <xf numFmtId="164" fontId="22" fillId="0" borderId="0" xfId="23" applyFont="1" applyBorder="1"/>
    <xf numFmtId="0" fontId="22" fillId="0" borderId="20" xfId="3" applyFont="1" applyBorder="1"/>
    <xf numFmtId="164" fontId="22" fillId="4" borderId="0" xfId="23" applyFont="1" applyFill="1" applyBorder="1"/>
    <xf numFmtId="0" fontId="3" fillId="0" borderId="0" xfId="3" applyFont="1" applyAlignment="1">
      <alignment horizontal="center" vertical="center" wrapText="1"/>
    </xf>
    <xf numFmtId="0" fontId="17" fillId="0" borderId="0" xfId="3" applyFont="1" applyAlignment="1">
      <alignment horizontal="center"/>
    </xf>
    <xf numFmtId="2" fontId="7" fillId="0" borderId="1" xfId="1" applyNumberFormat="1" applyFont="1" applyBorder="1" applyAlignment="1">
      <alignment horizontal="center" vertical="center"/>
    </xf>
    <xf numFmtId="3" fontId="4" fillId="0" borderId="0" xfId="3" applyNumberFormat="1" applyFont="1" applyAlignment="1">
      <alignment vertical="center"/>
    </xf>
    <xf numFmtId="0" fontId="3" fillId="0" borderId="2" xfId="3" applyFont="1" applyBorder="1" applyAlignment="1">
      <alignment horizontal="center" vertical="center" wrapText="1"/>
    </xf>
    <xf numFmtId="0" fontId="3" fillId="0" borderId="20" xfId="3" applyFont="1" applyBorder="1" applyAlignment="1">
      <alignment horizontal="center" vertical="center"/>
    </xf>
    <xf numFmtId="0" fontId="0" fillId="0" borderId="1" xfId="0" applyBorder="1"/>
    <xf numFmtId="1" fontId="22" fillId="0" borderId="7" xfId="3" applyNumberFormat="1" applyFont="1" applyBorder="1" applyAlignment="1">
      <alignment vertical="center"/>
    </xf>
    <xf numFmtId="1" fontId="22" fillId="0" borderId="5" xfId="3" applyNumberFormat="1" applyFont="1" applyBorder="1" applyAlignment="1">
      <alignment vertical="center"/>
    </xf>
    <xf numFmtId="0" fontId="27" fillId="0" borderId="1" xfId="0" applyFont="1" applyBorder="1" applyAlignment="1">
      <alignment vertical="center"/>
    </xf>
    <xf numFmtId="0" fontId="22" fillId="4" borderId="5" xfId="3" applyFont="1" applyFill="1" applyBorder="1" applyAlignment="1">
      <alignment horizontal="left" vertical="center"/>
    </xf>
    <xf numFmtId="0" fontId="22" fillId="4" borderId="5" xfId="3" applyFont="1" applyFill="1" applyBorder="1" applyAlignment="1">
      <alignment horizontal="center" vertical="center"/>
    </xf>
    <xf numFmtId="1" fontId="22" fillId="4" borderId="0" xfId="3" applyNumberFormat="1" applyFont="1" applyFill="1"/>
    <xf numFmtId="0" fontId="22" fillId="4" borderId="7" xfId="3" applyFont="1" applyFill="1" applyBorder="1" applyAlignment="1">
      <alignment vertical="center"/>
    </xf>
    <xf numFmtId="0" fontId="22" fillId="4" borderId="7" xfId="3" applyFont="1" applyFill="1" applyBorder="1" applyAlignment="1">
      <alignment horizontal="center" vertical="center"/>
    </xf>
    <xf numFmtId="0" fontId="22" fillId="4" borderId="6" xfId="3" applyFont="1" applyFill="1" applyBorder="1" applyAlignment="1">
      <alignment horizontal="center" vertical="center"/>
    </xf>
    <xf numFmtId="0" fontId="4" fillId="4" borderId="5" xfId="3" applyFont="1" applyFill="1" applyBorder="1"/>
    <xf numFmtId="0" fontId="4" fillId="4" borderId="15" xfId="3" applyFont="1" applyFill="1" applyBorder="1" applyAlignment="1">
      <alignment horizontal="left" vertical="center"/>
    </xf>
    <xf numFmtId="0" fontId="7" fillId="4" borderId="5" xfId="0" applyFont="1" applyFill="1" applyBorder="1"/>
    <xf numFmtId="3" fontId="8" fillId="4" borderId="21" xfId="0" applyNumberFormat="1" applyFont="1" applyFill="1" applyBorder="1" applyAlignment="1">
      <alignment horizontal="center" vertical="center"/>
    </xf>
    <xf numFmtId="1" fontId="4" fillId="4" borderId="5" xfId="0" applyNumberFormat="1" applyFont="1" applyFill="1" applyBorder="1" applyAlignment="1">
      <alignment horizontal="center" vertical="center"/>
    </xf>
    <xf numFmtId="37" fontId="4" fillId="4" borderId="8" xfId="10" applyNumberFormat="1" applyFont="1" applyFill="1" applyBorder="1" applyAlignment="1">
      <alignment horizontal="center" vertical="center"/>
    </xf>
    <xf numFmtId="0" fontId="4" fillId="4" borderId="14" xfId="3" applyFont="1" applyFill="1" applyBorder="1" applyAlignment="1">
      <alignment horizontal="left" vertical="center"/>
    </xf>
    <xf numFmtId="0" fontId="7" fillId="4" borderId="7" xfId="0" applyFont="1" applyFill="1" applyBorder="1"/>
    <xf numFmtId="3" fontId="8" fillId="4" borderId="22" xfId="0" applyNumberFormat="1" applyFont="1" applyFill="1" applyBorder="1" applyAlignment="1">
      <alignment horizontal="center" vertical="center"/>
    </xf>
    <xf numFmtId="1" fontId="4" fillId="4" borderId="7" xfId="0" applyNumberFormat="1" applyFont="1" applyFill="1" applyBorder="1" applyAlignment="1">
      <alignment horizontal="center" vertical="center"/>
    </xf>
    <xf numFmtId="1" fontId="4" fillId="4" borderId="0" xfId="10" applyNumberFormat="1" applyFont="1" applyFill="1" applyBorder="1" applyAlignment="1">
      <alignment horizontal="center" vertical="center"/>
    </xf>
    <xf numFmtId="0" fontId="4" fillId="4" borderId="0" xfId="10" applyNumberFormat="1" applyFont="1" applyFill="1" applyBorder="1" applyAlignment="1">
      <alignment horizontal="center" vertical="center"/>
    </xf>
    <xf numFmtId="0" fontId="4" fillId="4" borderId="12" xfId="3" applyFont="1" applyFill="1" applyBorder="1" applyAlignment="1">
      <alignment horizontal="left" vertical="center"/>
    </xf>
    <xf numFmtId="0" fontId="7" fillId="4" borderId="6" xfId="0" applyFont="1" applyFill="1" applyBorder="1"/>
    <xf numFmtId="3" fontId="8" fillId="4" borderId="23" xfId="0" applyNumberFormat="1" applyFont="1" applyFill="1" applyBorder="1" applyAlignment="1">
      <alignment horizontal="center" vertical="center"/>
    </xf>
    <xf numFmtId="1" fontId="4" fillId="4" borderId="6" xfId="0" applyNumberFormat="1" applyFont="1" applyFill="1" applyBorder="1" applyAlignment="1">
      <alignment horizontal="center" vertical="center"/>
    </xf>
    <xf numFmtId="1" fontId="4" fillId="4" borderId="11" xfId="10" applyNumberFormat="1" applyFont="1" applyFill="1" applyBorder="1" applyAlignment="1">
      <alignment horizontal="center" vertical="center"/>
    </xf>
    <xf numFmtId="0" fontId="4" fillId="4" borderId="1" xfId="3" applyFont="1" applyFill="1" applyBorder="1"/>
    <xf numFmtId="0" fontId="4" fillId="4" borderId="1" xfId="3" applyFont="1" applyFill="1" applyBorder="1" applyAlignment="1">
      <alignment horizontal="center"/>
    </xf>
    <xf numFmtId="3" fontId="4" fillId="4" borderId="1" xfId="3" applyNumberFormat="1" applyFont="1" applyFill="1" applyBorder="1" applyAlignment="1">
      <alignment horizontal="center" vertical="center"/>
    </xf>
    <xf numFmtId="0" fontId="7" fillId="0" borderId="5" xfId="3" applyFont="1" applyBorder="1" applyAlignment="1">
      <alignment vertical="top"/>
    </xf>
    <xf numFmtId="0" fontId="7" fillId="0" borderId="7" xfId="1" applyFont="1" applyBorder="1" applyAlignment="1">
      <alignment horizontal="center" vertical="center"/>
    </xf>
    <xf numFmtId="0" fontId="1" fillId="0" borderId="7" xfId="0" applyFont="1" applyBorder="1"/>
    <xf numFmtId="0" fontId="1" fillId="0" borderId="7" xfId="0" applyFont="1" applyBorder="1" applyAlignment="1">
      <alignment horizontal="center"/>
    </xf>
    <xf numFmtId="0" fontId="7" fillId="0" borderId="0" xfId="3" applyFont="1"/>
    <xf numFmtId="0" fontId="7" fillId="0" borderId="7" xfId="3" applyFont="1" applyBorder="1" applyAlignment="1">
      <alignment vertical="top"/>
    </xf>
    <xf numFmtId="0" fontId="1" fillId="0" borderId="6" xfId="0" applyFont="1" applyBorder="1"/>
    <xf numFmtId="0" fontId="1" fillId="0" borderId="6" xfId="0" applyFont="1" applyBorder="1" applyAlignment="1">
      <alignment horizontal="center"/>
    </xf>
    <xf numFmtId="0" fontId="7" fillId="0" borderId="20" xfId="3" applyFont="1" applyBorder="1" applyAlignment="1">
      <alignment vertical="top"/>
    </xf>
    <xf numFmtId="0" fontId="7" fillId="7" borderId="1" xfId="1" applyFont="1" applyFill="1" applyBorder="1" applyAlignment="1">
      <alignment horizontal="center" vertical="center"/>
    </xf>
    <xf numFmtId="0" fontId="7" fillId="7" borderId="1" xfId="3" applyFont="1" applyFill="1" applyBorder="1" applyAlignment="1">
      <alignment horizontal="left" vertical="center"/>
    </xf>
    <xf numFmtId="0" fontId="7" fillId="7" borderId="1" xfId="3" applyFont="1" applyFill="1" applyBorder="1" applyAlignment="1">
      <alignment horizontal="center" vertical="center"/>
    </xf>
    <xf numFmtId="0" fontId="7" fillId="0" borderId="13" xfId="3" applyFont="1" applyBorder="1" applyAlignment="1">
      <alignment vertical="top"/>
    </xf>
    <xf numFmtId="0" fontId="7" fillId="0" borderId="5" xfId="1" applyFont="1" applyBorder="1" applyAlignment="1">
      <alignment horizontal="center" vertical="center"/>
    </xf>
    <xf numFmtId="0" fontId="7" fillId="0" borderId="5" xfId="3" applyFont="1" applyBorder="1" applyAlignment="1">
      <alignment horizontal="left" vertical="center"/>
    </xf>
    <xf numFmtId="37" fontId="26" fillId="0" borderId="5" xfId="1" applyNumberFormat="1" applyFont="1" applyBorder="1" applyAlignment="1">
      <alignment horizontal="center" vertical="center"/>
    </xf>
    <xf numFmtId="0" fontId="7" fillId="0" borderId="7" xfId="3" applyFont="1" applyBorder="1" applyAlignment="1">
      <alignment horizontal="left" vertical="center"/>
    </xf>
    <xf numFmtId="37" fontId="26" fillId="0" borderId="7" xfId="1" applyNumberFormat="1" applyFont="1" applyBorder="1" applyAlignment="1">
      <alignment horizontal="center" vertical="center"/>
    </xf>
    <xf numFmtId="0" fontId="7" fillId="0" borderId="10" xfId="3" applyFont="1" applyBorder="1" applyAlignment="1">
      <alignment vertical="top"/>
    </xf>
    <xf numFmtId="0" fontId="1" fillId="0" borderId="5" xfId="0" applyFont="1" applyBorder="1" applyAlignment="1">
      <alignment horizontal="center"/>
    </xf>
    <xf numFmtId="0" fontId="26" fillId="0" borderId="13" xfId="3" applyFont="1" applyBorder="1" applyAlignment="1">
      <alignment vertical="top"/>
    </xf>
    <xf numFmtId="1" fontId="7" fillId="0" borderId="0" xfId="0" applyNumberFormat="1" applyFont="1" applyAlignment="1">
      <alignment horizontal="center" vertical="center"/>
    </xf>
    <xf numFmtId="0" fontId="26" fillId="0" borderId="0" xfId="3" applyFont="1"/>
    <xf numFmtId="0" fontId="26" fillId="0" borderId="20" xfId="3" applyFont="1" applyBorder="1" applyAlignment="1">
      <alignment vertical="top"/>
    </xf>
    <xf numFmtId="1" fontId="7" fillId="0" borderId="7" xfId="3" applyNumberFormat="1" applyFont="1" applyBorder="1" applyAlignment="1">
      <alignment horizontal="center"/>
    </xf>
    <xf numFmtId="1" fontId="7" fillId="0" borderId="7" xfId="3" applyNumberFormat="1" applyFont="1" applyBorder="1" applyAlignment="1">
      <alignment horizontal="left"/>
    </xf>
    <xf numFmtId="0" fontId="26" fillId="0" borderId="7" xfId="3" applyFont="1" applyBorder="1" applyAlignment="1">
      <alignment horizontal="left" vertical="center"/>
    </xf>
    <xf numFmtId="1" fontId="7" fillId="0" borderId="7" xfId="10" applyNumberFormat="1" applyFont="1" applyBorder="1" applyAlignment="1">
      <alignment horizontal="center" vertical="center"/>
    </xf>
    <xf numFmtId="0" fontId="7" fillId="0" borderId="7" xfId="10" applyNumberFormat="1" applyFont="1" applyBorder="1" applyAlignment="1">
      <alignment horizontal="center" vertical="center"/>
    </xf>
    <xf numFmtId="0" fontId="26" fillId="0" borderId="10" xfId="3" applyFont="1" applyBorder="1" applyAlignment="1">
      <alignment vertical="top"/>
    </xf>
    <xf numFmtId="1" fontId="7" fillId="0" borderId="6" xfId="3" applyNumberFormat="1" applyFont="1" applyBorder="1" applyAlignment="1">
      <alignment horizontal="center"/>
    </xf>
    <xf numFmtId="1" fontId="7" fillId="0" borderId="6" xfId="3" applyNumberFormat="1" applyFont="1" applyBorder="1" applyAlignment="1">
      <alignment horizontal="left"/>
    </xf>
    <xf numFmtId="1" fontId="7" fillId="7" borderId="1" xfId="3" applyNumberFormat="1" applyFont="1" applyFill="1" applyBorder="1" applyAlignment="1">
      <alignment horizontal="center"/>
    </xf>
    <xf numFmtId="1" fontId="7" fillId="7" borderId="1" xfId="3" applyNumberFormat="1" applyFont="1" applyFill="1" applyBorder="1" applyAlignment="1">
      <alignment horizontal="left"/>
    </xf>
    <xf numFmtId="1" fontId="7" fillId="7" borderId="1" xfId="3" applyNumberFormat="1" applyFont="1" applyFill="1" applyBorder="1" applyAlignment="1">
      <alignment horizontal="center" vertical="center"/>
    </xf>
    <xf numFmtId="0" fontId="7" fillId="0" borderId="7" xfId="3" applyFont="1" applyBorder="1" applyAlignment="1">
      <alignment vertical="center"/>
    </xf>
    <xf numFmtId="0" fontId="7" fillId="7" borderId="1" xfId="3" applyFont="1" applyFill="1" applyBorder="1" applyAlignment="1">
      <alignment vertical="center"/>
    </xf>
    <xf numFmtId="37" fontId="7" fillId="7" borderId="1" xfId="1" applyNumberFormat="1" applyFont="1" applyFill="1" applyBorder="1" applyAlignment="1">
      <alignment horizontal="center" vertical="center"/>
    </xf>
    <xf numFmtId="0" fontId="26" fillId="0" borderId="5" xfId="3" quotePrefix="1" applyFont="1" applyBorder="1" applyAlignment="1">
      <alignment horizontal="left" vertical="center"/>
    </xf>
    <xf numFmtId="0" fontId="7" fillId="0" borderId="6" xfId="1" applyFont="1" applyBorder="1" applyAlignment="1">
      <alignment horizontal="center" vertical="center"/>
    </xf>
    <xf numFmtId="0" fontId="7" fillId="0" borderId="6" xfId="3" applyFont="1" applyBorder="1" applyAlignment="1">
      <alignment horizontal="left" vertical="center"/>
    </xf>
    <xf numFmtId="0" fontId="7" fillId="0" borderId="5" xfId="3" applyFont="1" applyBorder="1" applyAlignment="1">
      <alignment horizontal="center" vertical="center"/>
    </xf>
    <xf numFmtId="0" fontId="7" fillId="0" borderId="7" xfId="3" applyFont="1" applyBorder="1" applyAlignment="1">
      <alignment horizontal="center" vertical="center"/>
    </xf>
    <xf numFmtId="0" fontId="26" fillId="0" borderId="7" xfId="1" applyFont="1" applyBorder="1" applyAlignment="1">
      <alignment horizontal="center" vertical="center"/>
    </xf>
    <xf numFmtId="0" fontId="26" fillId="0" borderId="7" xfId="3" applyFont="1" applyBorder="1" applyAlignment="1">
      <alignment horizontal="center"/>
    </xf>
    <xf numFmtId="0" fontId="26" fillId="0" borderId="7" xfId="3" applyFont="1" applyBorder="1" applyAlignment="1">
      <alignment horizontal="center" vertical="center"/>
    </xf>
    <xf numFmtId="0" fontId="7" fillId="0" borderId="0" xfId="3" applyFont="1" applyAlignment="1">
      <alignment horizontal="center"/>
    </xf>
    <xf numFmtId="0" fontId="26" fillId="0" borderId="6" xfId="1" applyFont="1" applyBorder="1" applyAlignment="1">
      <alignment horizontal="center" vertical="center"/>
    </xf>
    <xf numFmtId="0" fontId="26" fillId="0" borderId="6" xfId="3" applyFont="1" applyBorder="1" applyAlignment="1">
      <alignment horizontal="center"/>
    </xf>
    <xf numFmtId="0" fontId="7" fillId="0" borderId="1" xfId="3" applyFont="1" applyBorder="1" applyAlignment="1">
      <alignment horizontal="left" vertical="center"/>
    </xf>
    <xf numFmtId="0" fontId="7" fillId="0" borderId="1" xfId="3" applyFont="1" applyBorder="1" applyAlignment="1">
      <alignment horizontal="center" vertical="center"/>
    </xf>
    <xf numFmtId="37" fontId="7" fillId="0" borderId="5" xfId="1" applyNumberFormat="1" applyFont="1" applyBorder="1" applyAlignment="1">
      <alignment horizontal="center" vertical="center"/>
    </xf>
    <xf numFmtId="37" fontId="7" fillId="0" borderId="7" xfId="1" applyNumberFormat="1" applyFont="1" applyBorder="1" applyAlignment="1">
      <alignment horizontal="center" vertical="center"/>
    </xf>
    <xf numFmtId="37" fontId="7" fillId="0" borderId="0" xfId="10" applyNumberFormat="1" applyFont="1" applyBorder="1" applyAlignment="1">
      <alignment horizontal="center" vertical="center"/>
    </xf>
    <xf numFmtId="1" fontId="7" fillId="0" borderId="0" xfId="10" applyNumberFormat="1" applyFont="1" applyBorder="1" applyAlignment="1">
      <alignment horizontal="center" vertical="center"/>
    </xf>
    <xf numFmtId="0" fontId="7" fillId="0" borderId="0" xfId="10" applyNumberFormat="1" applyFont="1" applyBorder="1" applyAlignment="1">
      <alignment horizontal="center" vertical="center"/>
    </xf>
    <xf numFmtId="0" fontId="7" fillId="0" borderId="6" xfId="3" applyFont="1" applyBorder="1" applyAlignment="1">
      <alignment vertical="top"/>
    </xf>
    <xf numFmtId="0" fontId="7" fillId="7" borderId="7" xfId="1" applyFont="1" applyFill="1" applyBorder="1" applyAlignment="1">
      <alignment horizontal="center" vertical="center"/>
    </xf>
    <xf numFmtId="0" fontId="7" fillId="7" borderId="7" xfId="3" applyFont="1" applyFill="1" applyBorder="1" applyAlignment="1">
      <alignment horizontal="left" vertical="center"/>
    </xf>
    <xf numFmtId="0" fontId="7" fillId="7" borderId="7" xfId="0" applyFont="1" applyFill="1" applyBorder="1" applyAlignment="1">
      <alignment horizontal="center"/>
    </xf>
    <xf numFmtId="3" fontId="7" fillId="7" borderId="7" xfId="0" applyNumberFormat="1" applyFont="1" applyFill="1" applyBorder="1" applyAlignment="1">
      <alignment horizontal="center" vertical="center"/>
    </xf>
    <xf numFmtId="0" fontId="7" fillId="0" borderId="5" xfId="3" applyFont="1" applyBorder="1"/>
    <xf numFmtId="0" fontId="26" fillId="0" borderId="1" xfId="3" applyFont="1" applyBorder="1" applyAlignment="1">
      <alignment horizontal="left" vertical="center"/>
    </xf>
    <xf numFmtId="3" fontId="7" fillId="0" borderId="1" xfId="0" applyNumberFormat="1" applyFont="1" applyBorder="1" applyAlignment="1">
      <alignment horizontal="center" vertical="center"/>
    </xf>
    <xf numFmtId="0" fontId="7" fillId="0" borderId="7" xfId="3" applyFont="1" applyBorder="1"/>
    <xf numFmtId="0" fontId="4" fillId="0" borderId="13" xfId="3" applyFont="1" applyBorder="1" applyAlignment="1">
      <alignment vertical="top"/>
    </xf>
    <xf numFmtId="0" fontId="4" fillId="0" borderId="10" xfId="3" applyFont="1" applyBorder="1" applyAlignment="1">
      <alignment vertical="top"/>
    </xf>
    <xf numFmtId="0" fontId="4" fillId="0" borderId="13" xfId="3" applyFont="1" applyBorder="1" applyAlignment="1">
      <alignment horizontal="center" vertical="top"/>
    </xf>
    <xf numFmtId="0" fontId="4" fillId="0" borderId="20" xfId="3" applyFont="1" applyBorder="1" applyAlignment="1">
      <alignment horizontal="center" vertical="top"/>
    </xf>
    <xf numFmtId="0" fontId="4" fillId="0" borderId="10" xfId="3" applyFont="1" applyBorder="1" applyAlignment="1">
      <alignment horizontal="center" vertical="top"/>
    </xf>
    <xf numFmtId="37" fontId="7" fillId="0" borderId="7" xfId="10" applyNumberFormat="1" applyFont="1" applyBorder="1" applyAlignment="1">
      <alignment horizontal="center" vertical="center"/>
    </xf>
    <xf numFmtId="0" fontId="17" fillId="0" borderId="2" xfId="3" applyFont="1" applyBorder="1" applyAlignment="1">
      <alignment horizontal="center"/>
    </xf>
    <xf numFmtId="1" fontId="4" fillId="0" borderId="20" xfId="3" applyNumberFormat="1" applyFont="1" applyBorder="1" applyAlignment="1">
      <alignment horizontal="center" vertical="center"/>
    </xf>
    <xf numFmtId="1" fontId="4" fillId="0" borderId="2" xfId="3" applyNumberFormat="1" applyFont="1" applyBorder="1" applyAlignment="1">
      <alignment horizontal="center" vertical="center"/>
    </xf>
    <xf numFmtId="0" fontId="7" fillId="7" borderId="2" xfId="3" applyFont="1" applyFill="1" applyBorder="1" applyAlignment="1">
      <alignment horizontal="center" vertical="center"/>
    </xf>
    <xf numFmtId="1" fontId="4" fillId="7" borderId="2" xfId="3" applyNumberFormat="1" applyFont="1" applyFill="1" applyBorder="1" applyAlignment="1">
      <alignment horizontal="center" vertical="center"/>
    </xf>
    <xf numFmtId="1" fontId="26" fillId="0" borderId="20" xfId="3" applyNumberFormat="1" applyFont="1" applyBorder="1" applyAlignment="1">
      <alignment horizontal="center"/>
    </xf>
    <xf numFmtId="1" fontId="7" fillId="7" borderId="2" xfId="3" applyNumberFormat="1" applyFont="1" applyFill="1" applyBorder="1" applyAlignment="1">
      <alignment horizontal="center" vertical="center"/>
    </xf>
    <xf numFmtId="1" fontId="7" fillId="0" borderId="2" xfId="3" applyNumberFormat="1" applyFont="1" applyBorder="1" applyAlignment="1">
      <alignment horizontal="center" vertical="center"/>
    </xf>
    <xf numFmtId="0" fontId="7" fillId="0" borderId="20" xfId="3" applyFont="1" applyBorder="1" applyAlignment="1">
      <alignment horizontal="center" vertical="center"/>
    </xf>
    <xf numFmtId="1" fontId="7" fillId="7" borderId="10" xfId="3" applyNumberFormat="1" applyFont="1" applyFill="1" applyBorder="1" applyAlignment="1">
      <alignment horizontal="center" vertical="center"/>
    </xf>
    <xf numFmtId="0" fontId="4" fillId="7" borderId="2" xfId="3" applyFont="1" applyFill="1" applyBorder="1" applyAlignment="1">
      <alignment horizontal="center" vertical="center"/>
    </xf>
    <xf numFmtId="1" fontId="4" fillId="4" borderId="13" xfId="3" applyNumberFormat="1" applyFont="1" applyFill="1" applyBorder="1" applyAlignment="1">
      <alignment horizontal="center"/>
    </xf>
    <xf numFmtId="1" fontId="4" fillId="4" borderId="20" xfId="3" applyNumberFormat="1" applyFont="1" applyFill="1" applyBorder="1" applyAlignment="1">
      <alignment horizontal="center"/>
    </xf>
    <xf numFmtId="1" fontId="4" fillId="4" borderId="10" xfId="3" applyNumberFormat="1" applyFont="1" applyFill="1" applyBorder="1" applyAlignment="1">
      <alignment horizontal="center"/>
    </xf>
    <xf numFmtId="0" fontId="4" fillId="4" borderId="2" xfId="3" applyFont="1" applyFill="1" applyBorder="1" applyAlignment="1">
      <alignment horizontal="center" vertical="center"/>
    </xf>
    <xf numFmtId="0" fontId="4" fillId="0" borderId="20" xfId="3" applyFont="1" applyBorder="1"/>
    <xf numFmtId="0" fontId="3" fillId="0" borderId="20" xfId="1" applyFont="1" applyBorder="1" applyAlignment="1">
      <alignment horizontal="center" wrapText="1"/>
    </xf>
    <xf numFmtId="0" fontId="3" fillId="0" borderId="20" xfId="3" applyFont="1" applyBorder="1" applyAlignment="1">
      <alignment horizontal="center" vertical="center" wrapText="1"/>
    </xf>
    <xf numFmtId="0" fontId="17" fillId="0" borderId="20" xfId="3" applyFont="1" applyBorder="1" applyAlignment="1">
      <alignment horizontal="center"/>
    </xf>
    <xf numFmtId="0" fontId="1" fillId="0" borderId="0" xfId="0" applyFont="1" applyAlignment="1">
      <alignment horizontal="center"/>
    </xf>
    <xf numFmtId="9" fontId="1" fillId="0" borderId="0" xfId="0" applyNumberFormat="1" applyFont="1" applyAlignment="1">
      <alignment horizontal="center"/>
    </xf>
    <xf numFmtId="1" fontId="7" fillId="7" borderId="20" xfId="3" applyNumberFormat="1" applyFont="1" applyFill="1" applyBorder="1" applyAlignment="1">
      <alignment horizontal="center" vertical="center"/>
    </xf>
    <xf numFmtId="1" fontId="7" fillId="0" borderId="20" xfId="3" applyNumberFormat="1" applyFont="1" applyBorder="1" applyAlignment="1">
      <alignment horizontal="center" vertical="center"/>
    </xf>
    <xf numFmtId="1" fontId="4" fillId="7" borderId="20" xfId="3" applyNumberFormat="1" applyFont="1" applyFill="1" applyBorder="1" applyAlignment="1">
      <alignment horizontal="center" vertical="center"/>
    </xf>
    <xf numFmtId="0" fontId="4" fillId="7" borderId="20" xfId="3" applyFont="1" applyFill="1" applyBorder="1" applyAlignment="1">
      <alignment horizontal="center" vertical="center"/>
    </xf>
    <xf numFmtId="1" fontId="4" fillId="0" borderId="20" xfId="3" applyNumberFormat="1" applyFont="1" applyBorder="1" applyAlignment="1">
      <alignment horizontal="center"/>
    </xf>
    <xf numFmtId="0" fontId="1" fillId="0" borderId="0" xfId="0" applyFont="1"/>
    <xf numFmtId="1" fontId="26" fillId="0" borderId="10" xfId="3" applyNumberFormat="1" applyFont="1" applyBorder="1" applyAlignment="1">
      <alignment horizontal="center"/>
    </xf>
    <xf numFmtId="1" fontId="26" fillId="0" borderId="2" xfId="3" applyNumberFormat="1" applyFont="1" applyBorder="1" applyAlignment="1">
      <alignment horizontal="center"/>
    </xf>
    <xf numFmtId="0" fontId="26" fillId="0" borderId="5" xfId="0" applyFont="1" applyBorder="1" applyAlignment="1">
      <alignment vertical="center"/>
    </xf>
    <xf numFmtId="0" fontId="26" fillId="0" borderId="7" xfId="0" applyFont="1" applyBorder="1" applyAlignment="1">
      <alignment vertical="center"/>
    </xf>
    <xf numFmtId="0" fontId="26" fillId="0" borderId="6" xfId="0" applyFont="1" applyBorder="1" applyAlignment="1">
      <alignment vertical="center"/>
    </xf>
    <xf numFmtId="1" fontId="22" fillId="0" borderId="1" xfId="3" applyNumberFormat="1" applyFont="1" applyBorder="1" applyAlignment="1">
      <alignment horizontal="center" vertical="center"/>
    </xf>
    <xf numFmtId="0" fontId="4" fillId="4" borderId="7" xfId="3" applyFont="1" applyFill="1" applyBorder="1" applyAlignment="1">
      <alignment vertical="top"/>
    </xf>
    <xf numFmtId="0" fontId="4" fillId="4" borderId="0" xfId="3" applyFont="1" applyFill="1" applyAlignment="1">
      <alignment horizontal="center"/>
    </xf>
    <xf numFmtId="0" fontId="22" fillId="9" borderId="7" xfId="3" applyFont="1" applyFill="1" applyBorder="1" applyAlignment="1">
      <alignment horizontal="left" vertical="center"/>
    </xf>
    <xf numFmtId="1" fontId="4" fillId="0" borderId="7" xfId="10" applyNumberFormat="1" applyFont="1" applyBorder="1" applyAlignment="1">
      <alignment horizontal="center" vertical="center"/>
    </xf>
    <xf numFmtId="0" fontId="4" fillId="4" borderId="14" xfId="3" applyFont="1" applyFill="1" applyBorder="1" applyAlignment="1">
      <alignment horizontal="center"/>
    </xf>
    <xf numFmtId="0" fontId="4" fillId="4" borderId="5" xfId="3" applyFont="1" applyFill="1" applyBorder="1" applyAlignment="1">
      <alignment vertical="top"/>
    </xf>
    <xf numFmtId="0" fontId="4" fillId="4" borderId="6" xfId="3" applyFont="1" applyFill="1" applyBorder="1" applyAlignment="1">
      <alignment vertical="top"/>
    </xf>
    <xf numFmtId="0" fontId="4" fillId="0" borderId="7" xfId="0" applyFont="1" applyBorder="1" applyAlignment="1">
      <alignment horizontal="center" vertical="center" wrapText="1"/>
    </xf>
    <xf numFmtId="1" fontId="23" fillId="5" borderId="7" xfId="1" applyNumberFormat="1" applyFont="1" applyFill="1" applyBorder="1" applyAlignment="1">
      <alignment horizontal="center"/>
    </xf>
    <xf numFmtId="0" fontId="23" fillId="5" borderId="7" xfId="1" applyFont="1" applyFill="1" applyBorder="1" applyAlignment="1">
      <alignment horizontal="center" vertical="center"/>
    </xf>
    <xf numFmtId="0" fontId="3" fillId="0" borderId="7" xfId="3" applyFont="1" applyBorder="1" applyAlignment="1">
      <alignment vertical="top"/>
    </xf>
    <xf numFmtId="0" fontId="3" fillId="0" borderId="7" xfId="3" applyFont="1" applyBorder="1" applyAlignment="1">
      <alignment vertical="center"/>
    </xf>
    <xf numFmtId="0" fontId="13" fillId="0" borderId="7" xfId="3" applyFont="1" applyBorder="1" applyAlignment="1">
      <alignment horizontal="center" vertical="top"/>
    </xf>
    <xf numFmtId="0" fontId="3" fillId="7" borderId="1" xfId="3" applyFont="1" applyFill="1" applyBorder="1" applyAlignment="1">
      <alignment vertical="top"/>
    </xf>
    <xf numFmtId="0" fontId="3" fillId="7" borderId="1" xfId="3" applyFont="1" applyFill="1" applyBorder="1" applyAlignment="1">
      <alignment vertical="center"/>
    </xf>
    <xf numFmtId="0" fontId="13" fillId="7" borderId="1" xfId="3" applyFont="1" applyFill="1" applyBorder="1" applyAlignment="1">
      <alignment horizontal="center" vertical="top"/>
    </xf>
    <xf numFmtId="0" fontId="13" fillId="7" borderId="1" xfId="3" applyFont="1" applyFill="1" applyBorder="1" applyAlignment="1">
      <alignment horizontal="left" vertical="top"/>
    </xf>
    <xf numFmtId="0" fontId="13" fillId="7" borderId="1" xfId="3" applyFont="1" applyFill="1" applyBorder="1" applyAlignment="1">
      <alignment horizontal="center" vertical="center"/>
    </xf>
    <xf numFmtId="0" fontId="28" fillId="7" borderId="1" xfId="0" applyFont="1" applyFill="1" applyBorder="1" applyAlignment="1">
      <alignment horizontal="left" vertical="center"/>
    </xf>
    <xf numFmtId="0" fontId="8" fillId="7" borderId="1" xfId="3" quotePrefix="1" applyFont="1" applyFill="1" applyBorder="1" applyAlignment="1">
      <alignment horizontal="center" vertical="center" wrapText="1"/>
    </xf>
    <xf numFmtId="0" fontId="4" fillId="7" borderId="5" xfId="3" applyFont="1" applyFill="1" applyBorder="1" applyAlignment="1">
      <alignment horizontal="left" vertical="center"/>
    </xf>
    <xf numFmtId="0" fontId="4" fillId="7" borderId="6" xfId="3" applyFont="1" applyFill="1" applyBorder="1" applyAlignment="1">
      <alignment horizontal="left"/>
    </xf>
    <xf numFmtId="1" fontId="4" fillId="5" borderId="7" xfId="1" applyNumberFormat="1" applyFont="1" applyFill="1" applyBorder="1" applyAlignment="1">
      <alignment horizontal="center"/>
    </xf>
    <xf numFmtId="0" fontId="4" fillId="0" borderId="13" xfId="3" applyFont="1" applyBorder="1"/>
    <xf numFmtId="0" fontId="4" fillId="0" borderId="10" xfId="3" applyFont="1" applyBorder="1"/>
    <xf numFmtId="0" fontId="8" fillId="0" borderId="14" xfId="3" applyFont="1" applyBorder="1" applyAlignment="1">
      <alignment horizontal="center" vertical="center" wrapText="1"/>
    </xf>
    <xf numFmtId="0" fontId="32" fillId="0" borderId="5" xfId="0" applyFont="1" applyBorder="1" applyAlignment="1">
      <alignment wrapText="1"/>
    </xf>
    <xf numFmtId="0" fontId="32" fillId="0" borderId="7" xfId="0" applyFont="1" applyBorder="1" applyAlignment="1">
      <alignment wrapText="1"/>
    </xf>
    <xf numFmtId="0" fontId="32" fillId="0" borderId="6" xfId="0" applyFont="1" applyBorder="1" applyAlignment="1">
      <alignment wrapText="1"/>
    </xf>
    <xf numFmtId="0" fontId="22" fillId="0" borderId="1" xfId="3" applyFont="1" applyBorder="1" applyAlignment="1">
      <alignment horizontal="left" vertical="center"/>
    </xf>
    <xf numFmtId="0" fontId="4" fillId="4" borderId="15" xfId="3" applyFont="1" applyFill="1" applyBorder="1" applyAlignment="1">
      <alignment horizontal="center"/>
    </xf>
    <xf numFmtId="166" fontId="13" fillId="7" borderId="1" xfId="3" applyNumberFormat="1" applyFont="1" applyFill="1" applyBorder="1" applyAlignment="1">
      <alignment horizontal="center" vertical="center"/>
    </xf>
    <xf numFmtId="2" fontId="8" fillId="7" borderId="1" xfId="3" applyNumberFormat="1" applyFont="1" applyFill="1" applyBorder="1" applyAlignment="1">
      <alignment horizontal="center" vertical="center" wrapText="1"/>
    </xf>
    <xf numFmtId="166" fontId="8" fillId="7" borderId="1" xfId="3" applyNumberFormat="1" applyFont="1" applyFill="1" applyBorder="1" applyAlignment="1">
      <alignment horizontal="center" vertical="center" wrapText="1"/>
    </xf>
    <xf numFmtId="166" fontId="8" fillId="7" borderId="1" xfId="3" quotePrefix="1" applyNumberFormat="1" applyFont="1" applyFill="1" applyBorder="1" applyAlignment="1">
      <alignment horizontal="center" vertical="center" wrapText="1"/>
    </xf>
    <xf numFmtId="1" fontId="4" fillId="7" borderId="1" xfId="10" applyNumberFormat="1" applyFont="1" applyFill="1" applyBorder="1" applyAlignment="1">
      <alignment horizontal="center" vertical="center"/>
    </xf>
    <xf numFmtId="1" fontId="8" fillId="7" borderId="1" xfId="3" applyNumberFormat="1" applyFont="1" applyFill="1" applyBorder="1" applyAlignment="1">
      <alignment horizontal="center" vertical="center" wrapText="1"/>
    </xf>
    <xf numFmtId="2" fontId="8" fillId="0" borderId="7" xfId="3" applyNumberFormat="1" applyFont="1" applyBorder="1" applyAlignment="1">
      <alignment horizontal="center" vertical="center" wrapText="1"/>
    </xf>
    <xf numFmtId="2" fontId="4" fillId="0" borderId="7" xfId="10" applyNumberFormat="1" applyFont="1" applyBorder="1" applyAlignment="1">
      <alignment horizontal="center" vertical="center"/>
    </xf>
    <xf numFmtId="2" fontId="8" fillId="5" borderId="7" xfId="3" applyNumberFormat="1" applyFont="1" applyFill="1" applyBorder="1" applyAlignment="1">
      <alignment horizontal="center" vertical="center" wrapText="1"/>
    </xf>
    <xf numFmtId="166" fontId="8" fillId="0" borderId="7" xfId="3" applyNumberFormat="1" applyFont="1" applyBorder="1" applyAlignment="1">
      <alignment horizontal="center" vertical="center" wrapText="1"/>
    </xf>
    <xf numFmtId="166" fontId="4" fillId="0" borderId="7" xfId="10" applyNumberFormat="1" applyFont="1" applyBorder="1" applyAlignment="1">
      <alignment horizontal="center" vertical="center"/>
    </xf>
    <xf numFmtId="1" fontId="8" fillId="0" borderId="5" xfId="3" applyNumberFormat="1" applyFont="1" applyBorder="1" applyAlignment="1">
      <alignment horizontal="center" vertical="center" wrapText="1"/>
    </xf>
    <xf numFmtId="1" fontId="8" fillId="0" borderId="7" xfId="3" applyNumberFormat="1" applyFont="1" applyBorder="1" applyAlignment="1">
      <alignment horizontal="center" vertical="center" wrapText="1"/>
    </xf>
    <xf numFmtId="1" fontId="8" fillId="5" borderId="7" xfId="3" applyNumberFormat="1" applyFont="1" applyFill="1" applyBorder="1" applyAlignment="1">
      <alignment horizontal="center" vertical="center" wrapText="1"/>
    </xf>
    <xf numFmtId="166" fontId="7" fillId="0" borderId="1" xfId="1" applyNumberFormat="1" applyFont="1" applyBorder="1" applyAlignment="1">
      <alignment horizontal="center" vertical="center"/>
    </xf>
    <xf numFmtId="2" fontId="8" fillId="0" borderId="6" xfId="3" applyNumberFormat="1" applyFont="1" applyBorder="1" applyAlignment="1">
      <alignment horizontal="center" vertical="center" wrapText="1"/>
    </xf>
    <xf numFmtId="1" fontId="4" fillId="0" borderId="7" xfId="3" applyNumberFormat="1" applyFont="1" applyBorder="1" applyAlignment="1">
      <alignment horizontal="center" vertical="center"/>
    </xf>
    <xf numFmtId="1" fontId="0" fillId="0" borderId="5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" fontId="26" fillId="0" borderId="5" xfId="1" applyNumberFormat="1" applyFont="1" applyBorder="1" applyAlignment="1">
      <alignment horizontal="center" vertical="center"/>
    </xf>
    <xf numFmtId="1" fontId="26" fillId="0" borderId="7" xfId="1" applyNumberFormat="1" applyFont="1" applyBorder="1" applyAlignment="1">
      <alignment horizontal="center" vertical="center"/>
    </xf>
    <xf numFmtId="1" fontId="4" fillId="7" borderId="1" xfId="1" applyNumberFormat="1" applyFont="1" applyFill="1" applyBorder="1" applyAlignment="1">
      <alignment horizontal="center" vertical="center"/>
    </xf>
    <xf numFmtId="1" fontId="26" fillId="0" borderId="5" xfId="3" applyNumberFormat="1" applyFont="1" applyBorder="1" applyAlignment="1">
      <alignment horizontal="center"/>
    </xf>
    <xf numFmtId="1" fontId="26" fillId="0" borderId="7" xfId="3" applyNumberFormat="1" applyFont="1" applyBorder="1" applyAlignment="1">
      <alignment horizontal="center"/>
    </xf>
    <xf numFmtId="0" fontId="26" fillId="0" borderId="5" xfId="1" applyFont="1" applyBorder="1" applyAlignment="1">
      <alignment horizontal="center" vertical="center"/>
    </xf>
    <xf numFmtId="0" fontId="26" fillId="0" borderId="5" xfId="3" applyFont="1" applyBorder="1" applyAlignment="1">
      <alignment horizontal="center"/>
    </xf>
    <xf numFmtId="0" fontId="33" fillId="0" borderId="13" xfId="0" applyFont="1" applyBorder="1"/>
    <xf numFmtId="0" fontId="33" fillId="0" borderId="20" xfId="0" applyFont="1" applyBorder="1"/>
    <xf numFmtId="0" fontId="33" fillId="0" borderId="25" xfId="0" applyFont="1" applyBorder="1"/>
    <xf numFmtId="1" fontId="7" fillId="0" borderId="15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center" vertical="center"/>
    </xf>
    <xf numFmtId="3" fontId="0" fillId="0" borderId="5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3" fontId="7" fillId="0" borderId="1" xfId="1" applyNumberFormat="1" applyFont="1" applyBorder="1" applyAlignment="1">
      <alignment horizontal="center" vertical="center"/>
    </xf>
    <xf numFmtId="0" fontId="26" fillId="0" borderId="1" xfId="3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2" fillId="6" borderId="7" xfId="3" applyFont="1" applyFill="1" applyBorder="1" applyAlignment="1">
      <alignment horizontal="left" vertical="center"/>
    </xf>
    <xf numFmtId="37" fontId="4" fillId="6" borderId="7" xfId="1" applyNumberFormat="1" applyFont="1" applyFill="1" applyBorder="1" applyAlignment="1">
      <alignment horizontal="center" vertical="center"/>
    </xf>
    <xf numFmtId="3" fontId="4" fillId="6" borderId="7" xfId="1" applyNumberFormat="1" applyFont="1" applyFill="1" applyBorder="1" applyAlignment="1">
      <alignment horizontal="center" vertical="center"/>
    </xf>
    <xf numFmtId="37" fontId="22" fillId="6" borderId="7" xfId="1" applyNumberFormat="1" applyFont="1" applyFill="1" applyBorder="1" applyAlignment="1">
      <alignment horizontal="center"/>
    </xf>
    <xf numFmtId="1" fontId="4" fillId="6" borderId="7" xfId="0" applyNumberFormat="1" applyFont="1" applyFill="1" applyBorder="1" applyAlignment="1">
      <alignment horizontal="center" vertical="center"/>
    </xf>
    <xf numFmtId="0" fontId="4" fillId="6" borderId="7" xfId="1" applyFont="1" applyFill="1" applyBorder="1" applyAlignment="1">
      <alignment horizontal="center" vertical="center"/>
    </xf>
    <xf numFmtId="1" fontId="22" fillId="0" borderId="5" xfId="3" applyNumberFormat="1" applyFont="1" applyBorder="1" applyAlignment="1">
      <alignment horizontal="left" vertical="center" wrapText="1"/>
    </xf>
    <xf numFmtId="1" fontId="22" fillId="7" borderId="1" xfId="3" applyNumberFormat="1" applyFont="1" applyFill="1" applyBorder="1" applyAlignment="1">
      <alignment horizontal="left" vertical="center"/>
    </xf>
    <xf numFmtId="1" fontId="22" fillId="0" borderId="5" xfId="3" applyNumberFormat="1" applyFont="1" applyBorder="1" applyAlignment="1">
      <alignment horizontal="left" vertical="center"/>
    </xf>
    <xf numFmtId="1" fontId="22" fillId="0" borderId="6" xfId="3" applyNumberFormat="1" applyFont="1" applyBorder="1" applyAlignment="1">
      <alignment vertical="center"/>
    </xf>
    <xf numFmtId="1" fontId="22" fillId="7" borderId="1" xfId="0" applyNumberFormat="1" applyFont="1" applyFill="1" applyBorder="1" applyAlignment="1">
      <alignment vertical="center"/>
    </xf>
    <xf numFmtId="1" fontId="4" fillId="0" borderId="5" xfId="3" applyNumberFormat="1" applyFont="1" applyBorder="1" applyAlignment="1">
      <alignment horizontal="center" vertical="center"/>
    </xf>
    <xf numFmtId="1" fontId="22" fillId="7" borderId="1" xfId="3" applyNumberFormat="1" applyFont="1" applyFill="1" applyBorder="1"/>
    <xf numFmtId="1" fontId="22" fillId="4" borderId="5" xfId="3" applyNumberFormat="1" applyFont="1" applyFill="1" applyBorder="1" applyAlignment="1">
      <alignment horizontal="left" vertical="center"/>
    </xf>
    <xf numFmtId="1" fontId="22" fillId="4" borderId="7" xfId="3" applyNumberFormat="1" applyFont="1" applyFill="1" applyBorder="1" applyAlignment="1">
      <alignment horizontal="left" vertical="center"/>
    </xf>
    <xf numFmtId="1" fontId="22" fillId="4" borderId="6" xfId="3" applyNumberFormat="1" applyFont="1" applyFill="1" applyBorder="1" applyAlignment="1">
      <alignment horizontal="left" vertical="center"/>
    </xf>
    <xf numFmtId="1" fontId="22" fillId="0" borderId="1" xfId="3" applyNumberFormat="1" applyFont="1" applyBorder="1" applyAlignment="1">
      <alignment horizontal="left" vertical="center"/>
    </xf>
    <xf numFmtId="1" fontId="22" fillId="7" borderId="6" xfId="3" applyNumberFormat="1" applyFont="1" applyFill="1" applyBorder="1" applyAlignment="1">
      <alignment vertical="center"/>
    </xf>
    <xf numFmtId="1" fontId="4" fillId="0" borderId="6" xfId="3" applyNumberFormat="1" applyFont="1" applyBorder="1" applyAlignment="1">
      <alignment horizontal="center" vertical="center"/>
    </xf>
    <xf numFmtId="1" fontId="26" fillId="0" borderId="1" xfId="0" applyNumberFormat="1" applyFont="1" applyBorder="1" applyAlignment="1">
      <alignment horizontal="center"/>
    </xf>
    <xf numFmtId="1" fontId="22" fillId="7" borderId="1" xfId="3" applyNumberFormat="1" applyFont="1" applyFill="1" applyBorder="1" applyAlignment="1">
      <alignment vertical="center"/>
    </xf>
    <xf numFmtId="1" fontId="22" fillId="8" borderId="5" xfId="3" applyNumberFormat="1" applyFont="1" applyFill="1" applyBorder="1" applyAlignment="1">
      <alignment horizontal="center" vertical="center"/>
    </xf>
    <xf numFmtId="1" fontId="26" fillId="0" borderId="1" xfId="23" applyNumberFormat="1" applyFont="1" applyBorder="1" applyAlignment="1">
      <alignment horizontal="center" vertical="center"/>
    </xf>
    <xf numFmtId="1" fontId="22" fillId="0" borderId="1" xfId="23" applyNumberFormat="1" applyFont="1" applyBorder="1" applyAlignment="1">
      <alignment horizontal="center" vertical="center"/>
    </xf>
    <xf numFmtId="1" fontId="26" fillId="8" borderId="1" xfId="0" applyNumberFormat="1" applyFont="1" applyFill="1" applyBorder="1" applyAlignment="1">
      <alignment horizontal="center" vertical="center"/>
    </xf>
    <xf numFmtId="1" fontId="4" fillId="0" borderId="7" xfId="10" applyNumberFormat="1" applyFont="1" applyBorder="1" applyAlignment="1">
      <alignment horizontal="center"/>
    </xf>
    <xf numFmtId="1" fontId="8" fillId="10" borderId="7" xfId="3" applyNumberFormat="1" applyFont="1" applyFill="1" applyBorder="1" applyAlignment="1">
      <alignment horizontal="center" vertical="center" wrapText="1"/>
    </xf>
    <xf numFmtId="1" fontId="4" fillId="10" borderId="7" xfId="10" applyNumberFormat="1" applyFont="1" applyFill="1" applyBorder="1" applyAlignment="1">
      <alignment horizontal="center" vertical="center"/>
    </xf>
    <xf numFmtId="1" fontId="4" fillId="10" borderId="1" xfId="3" applyNumberFormat="1" applyFont="1" applyFill="1" applyBorder="1" applyAlignment="1">
      <alignment horizontal="center" vertical="center"/>
    </xf>
    <xf numFmtId="1" fontId="7" fillId="4" borderId="7" xfId="10" applyNumberFormat="1" applyFont="1" applyFill="1" applyBorder="1" applyAlignment="1">
      <alignment horizontal="center" vertical="center"/>
    </xf>
    <xf numFmtId="0" fontId="7" fillId="4" borderId="7" xfId="10" applyNumberFormat="1" applyFont="1" applyFill="1" applyBorder="1" applyAlignment="1">
      <alignment horizontal="center" vertical="center"/>
    </xf>
    <xf numFmtId="0" fontId="26" fillId="4" borderId="7" xfId="3" applyFont="1" applyFill="1" applyBorder="1" applyAlignment="1">
      <alignment horizontal="center"/>
    </xf>
    <xf numFmtId="0" fontId="26" fillId="4" borderId="7" xfId="3" applyFont="1" applyFill="1" applyBorder="1" applyAlignment="1">
      <alignment horizontal="center" vertical="center"/>
    </xf>
    <xf numFmtId="0" fontId="26" fillId="4" borderId="6" xfId="3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1" fontId="7" fillId="4" borderId="0" xfId="0" applyNumberFormat="1" applyFont="1" applyFill="1" applyAlignment="1">
      <alignment horizontal="center" vertical="center"/>
    </xf>
    <xf numFmtId="0" fontId="7" fillId="0" borderId="5" xfId="1" applyFont="1" applyBorder="1" applyAlignment="1">
      <alignment horizontal="center"/>
    </xf>
    <xf numFmtId="0" fontId="7" fillId="0" borderId="5" xfId="1" applyFont="1" applyBorder="1"/>
    <xf numFmtId="0" fontId="7" fillId="0" borderId="7" xfId="1" applyFont="1" applyBorder="1"/>
    <xf numFmtId="0" fontId="4" fillId="0" borderId="7" xfId="1" applyFont="1" applyBorder="1" applyAlignment="1">
      <alignment horizontal="center"/>
    </xf>
    <xf numFmtId="0" fontId="4" fillId="0" borderId="7" xfId="1" applyFont="1" applyBorder="1"/>
    <xf numFmtId="0" fontId="4" fillId="0" borderId="6" xfId="3" applyFont="1" applyBorder="1"/>
    <xf numFmtId="1" fontId="22" fillId="0" borderId="7" xfId="3" applyNumberFormat="1" applyFont="1" applyBorder="1" applyAlignment="1">
      <alignment horizontal="center" vertical="top"/>
    </xf>
    <xf numFmtId="1" fontId="4" fillId="0" borderId="5" xfId="3" applyNumberFormat="1" applyFont="1" applyBorder="1" applyAlignment="1">
      <alignment horizontal="center" vertical="top"/>
    </xf>
    <xf numFmtId="1" fontId="4" fillId="0" borderId="5" xfId="3" applyNumberFormat="1" applyFont="1" applyBorder="1" applyAlignment="1">
      <alignment horizontal="left" vertical="top"/>
    </xf>
    <xf numFmtId="1" fontId="4" fillId="0" borderId="7" xfId="3" applyNumberFormat="1" applyFont="1" applyBorder="1" applyAlignment="1">
      <alignment horizontal="center" vertical="top"/>
    </xf>
    <xf numFmtId="1" fontId="4" fillId="0" borderId="7" xfId="3" applyNumberFormat="1" applyFont="1" applyBorder="1" applyAlignment="1">
      <alignment horizontal="left" vertical="top"/>
    </xf>
    <xf numFmtId="1" fontId="4" fillId="0" borderId="6" xfId="3" applyNumberFormat="1" applyFont="1" applyBorder="1" applyAlignment="1">
      <alignment horizontal="center" vertical="top"/>
    </xf>
    <xf numFmtId="1" fontId="4" fillId="0" borderId="6" xfId="3" applyNumberFormat="1" applyFont="1" applyBorder="1" applyAlignment="1">
      <alignment horizontal="left" vertical="top"/>
    </xf>
    <xf numFmtId="1" fontId="4" fillId="0" borderId="10" xfId="3" applyNumberFormat="1" applyFont="1" applyBorder="1" applyAlignment="1">
      <alignment horizontal="center" vertical="center"/>
    </xf>
    <xf numFmtId="1" fontId="22" fillId="8" borderId="1" xfId="7" applyNumberFormat="1" applyFont="1" applyFill="1" applyBorder="1" applyAlignment="1">
      <alignment horizontal="center" vertical="center"/>
    </xf>
    <xf numFmtId="0" fontId="4" fillId="4" borderId="0" xfId="3" applyFont="1" applyFill="1"/>
    <xf numFmtId="3" fontId="4" fillId="4" borderId="0" xfId="3" applyNumberFormat="1" applyFont="1" applyFill="1" applyAlignment="1">
      <alignment horizontal="center" vertical="center"/>
    </xf>
    <xf numFmtId="0" fontId="4" fillId="4" borderId="0" xfId="3" applyFont="1" applyFill="1" applyAlignment="1">
      <alignment horizontal="center" vertical="center"/>
    </xf>
    <xf numFmtId="0" fontId="18" fillId="0" borderId="1" xfId="3" applyFont="1" applyBorder="1"/>
    <xf numFmtId="0" fontId="4" fillId="0" borderId="1" xfId="3" applyFont="1" applyBorder="1"/>
    <xf numFmtId="0" fontId="1" fillId="0" borderId="1" xfId="0" applyFont="1" applyBorder="1" applyAlignment="1">
      <alignment horizontal="center"/>
    </xf>
    <xf numFmtId="1" fontId="4" fillId="0" borderId="1" xfId="3" applyNumberFormat="1" applyFont="1" applyBorder="1" applyAlignment="1">
      <alignment horizontal="left" vertical="top"/>
    </xf>
    <xf numFmtId="0" fontId="3" fillId="0" borderId="1" xfId="1" applyFont="1" applyBorder="1" applyAlignment="1">
      <alignment horizontal="left" vertical="center"/>
    </xf>
    <xf numFmtId="0" fontId="7" fillId="0" borderId="1" xfId="3" quotePrefix="1" applyFont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7" fillId="0" borderId="1" xfId="3" applyFont="1" applyBorder="1" applyAlignment="1">
      <alignment horizontal="left"/>
    </xf>
    <xf numFmtId="0" fontId="4" fillId="0" borderId="1" xfId="3" applyFont="1" applyBorder="1" applyAlignment="1">
      <alignment horizontal="left"/>
    </xf>
    <xf numFmtId="0" fontId="7" fillId="5" borderId="1" xfId="0" applyFont="1" applyFill="1" applyBorder="1" applyAlignment="1">
      <alignment horizontal="left"/>
    </xf>
    <xf numFmtId="0" fontId="7" fillId="0" borderId="1" xfId="3" applyFont="1" applyBorder="1" applyAlignment="1">
      <alignment horizontal="center" vertical="top"/>
    </xf>
    <xf numFmtId="0" fontId="25" fillId="0" borderId="1" xfId="1" applyFont="1" applyBorder="1" applyAlignment="1">
      <alignment horizontal="center" vertical="top"/>
    </xf>
    <xf numFmtId="0" fontId="7" fillId="0" borderId="1" xfId="1" applyFont="1" applyBorder="1" applyAlignment="1">
      <alignment horizontal="center" vertical="top"/>
    </xf>
    <xf numFmtId="1" fontId="22" fillId="6" borderId="1" xfId="23" applyNumberFormat="1" applyFont="1" applyFill="1" applyBorder="1" applyAlignment="1">
      <alignment horizontal="center" vertical="center"/>
    </xf>
    <xf numFmtId="1" fontId="26" fillId="0" borderId="1" xfId="23" applyNumberFormat="1" applyFont="1" applyFill="1" applyBorder="1" applyAlignment="1">
      <alignment horizontal="center" vertical="center"/>
    </xf>
    <xf numFmtId="1" fontId="26" fillId="4" borderId="1" xfId="23" applyNumberFormat="1" applyFont="1" applyFill="1" applyBorder="1" applyAlignment="1">
      <alignment horizontal="center" vertical="center"/>
    </xf>
    <xf numFmtId="1" fontId="22" fillId="0" borderId="1" xfId="3" applyNumberFormat="1" applyFont="1" applyBorder="1" applyAlignment="1">
      <alignment horizontal="left"/>
    </xf>
    <xf numFmtId="0" fontId="15" fillId="0" borderId="5" xfId="3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/>
    </xf>
    <xf numFmtId="0" fontId="22" fillId="4" borderId="1" xfId="3" applyFont="1" applyFill="1" applyBorder="1" applyAlignment="1">
      <alignment horizontal="center" vertical="center"/>
    </xf>
    <xf numFmtId="1" fontId="22" fillId="11" borderId="5" xfId="3" applyNumberFormat="1" applyFont="1" applyFill="1" applyBorder="1" applyAlignment="1">
      <alignment horizontal="left" vertical="center"/>
    </xf>
    <xf numFmtId="1" fontId="22" fillId="11" borderId="5" xfId="0" applyNumberFormat="1" applyFont="1" applyFill="1" applyBorder="1" applyAlignment="1">
      <alignment vertical="center"/>
    </xf>
    <xf numFmtId="1" fontId="22" fillId="11" borderId="5" xfId="3" applyNumberFormat="1" applyFont="1" applyFill="1" applyBorder="1" applyAlignment="1">
      <alignment horizontal="center" vertical="center"/>
    </xf>
    <xf numFmtId="1" fontId="22" fillId="11" borderId="7" xfId="3" applyNumberFormat="1" applyFont="1" applyFill="1" applyBorder="1" applyAlignment="1">
      <alignment horizontal="center" vertical="center"/>
    </xf>
    <xf numFmtId="1" fontId="22" fillId="11" borderId="7" xfId="3" applyNumberFormat="1" applyFont="1" applyFill="1" applyBorder="1" applyAlignment="1">
      <alignment horizontal="left" vertical="center"/>
    </xf>
    <xf numFmtId="1" fontId="22" fillId="11" borderId="7" xfId="0" applyNumberFormat="1" applyFont="1" applyFill="1" applyBorder="1" applyAlignment="1">
      <alignment vertical="center"/>
    </xf>
    <xf numFmtId="1" fontId="22" fillId="11" borderId="6" xfId="0" applyNumberFormat="1" applyFont="1" applyFill="1" applyBorder="1" applyAlignment="1">
      <alignment vertical="center"/>
    </xf>
    <xf numFmtId="1" fontId="22" fillId="11" borderId="1" xfId="3" applyNumberFormat="1" applyFont="1" applyFill="1" applyBorder="1" applyAlignment="1">
      <alignment horizontal="left" vertical="center"/>
    </xf>
    <xf numFmtId="1" fontId="26" fillId="11" borderId="1" xfId="23" applyNumberFormat="1" applyFont="1" applyFill="1" applyBorder="1" applyAlignment="1">
      <alignment horizontal="center" vertical="center"/>
    </xf>
    <xf numFmtId="0" fontId="22" fillId="11" borderId="5" xfId="3" applyFont="1" applyFill="1" applyBorder="1" applyAlignment="1">
      <alignment horizontal="left" vertical="center"/>
    </xf>
    <xf numFmtId="0" fontId="22" fillId="11" borderId="5" xfId="3" applyFont="1" applyFill="1" applyBorder="1" applyAlignment="1">
      <alignment horizontal="center" vertical="center"/>
    </xf>
    <xf numFmtId="0" fontId="22" fillId="11" borderId="7" xfId="3" applyFont="1" applyFill="1" applyBorder="1" applyAlignment="1">
      <alignment horizontal="left" vertical="center"/>
    </xf>
    <xf numFmtId="0" fontId="22" fillId="11" borderId="1" xfId="0" applyFont="1" applyFill="1" applyBorder="1" applyAlignment="1">
      <alignment vertical="center"/>
    </xf>
    <xf numFmtId="1" fontId="22" fillId="11" borderId="1" xfId="3" applyNumberFormat="1" applyFont="1" applyFill="1" applyBorder="1" applyAlignment="1">
      <alignment horizontal="center" vertical="center"/>
    </xf>
    <xf numFmtId="1" fontId="22" fillId="11" borderId="1" xfId="7" applyNumberFormat="1" applyFont="1" applyFill="1" applyBorder="1" applyAlignment="1">
      <alignment horizontal="center" vertical="center"/>
    </xf>
    <xf numFmtId="1" fontId="22" fillId="11" borderId="1" xfId="10" applyNumberFormat="1" applyFont="1" applyFill="1" applyBorder="1" applyAlignment="1">
      <alignment horizontal="center" vertical="center"/>
    </xf>
    <xf numFmtId="1" fontId="26" fillId="11" borderId="1" xfId="0" applyNumberFormat="1" applyFont="1" applyFill="1" applyBorder="1" applyAlignment="1">
      <alignment vertical="center"/>
    </xf>
    <xf numFmtId="0" fontId="22" fillId="11" borderId="1" xfId="3" applyFont="1" applyFill="1" applyBorder="1" applyAlignment="1">
      <alignment horizontal="center" vertical="center"/>
    </xf>
    <xf numFmtId="37" fontId="22" fillId="11" borderId="1" xfId="1" applyNumberFormat="1" applyFont="1" applyFill="1" applyBorder="1" applyAlignment="1">
      <alignment horizontal="center" vertical="center"/>
    </xf>
    <xf numFmtId="0" fontId="30" fillId="11" borderId="1" xfId="3" applyFont="1" applyFill="1" applyBorder="1" applyAlignment="1">
      <alignment horizontal="center" vertical="center" wrapText="1"/>
    </xf>
    <xf numFmtId="0" fontId="30" fillId="11" borderId="1" xfId="3" applyFont="1" applyFill="1" applyBorder="1" applyAlignment="1">
      <alignment horizontal="center" vertical="center"/>
    </xf>
    <xf numFmtId="0" fontId="4" fillId="11" borderId="1" xfId="3" applyFont="1" applyFill="1" applyBorder="1" applyAlignment="1">
      <alignment horizontal="left" vertical="center"/>
    </xf>
    <xf numFmtId="0" fontId="8" fillId="11" borderId="1" xfId="3" applyFont="1" applyFill="1" applyBorder="1" applyAlignment="1">
      <alignment horizontal="right" vertical="center" wrapText="1"/>
    </xf>
    <xf numFmtId="0" fontId="8" fillId="11" borderId="1" xfId="3" applyFont="1" applyFill="1" applyBorder="1" applyAlignment="1">
      <alignment horizontal="center" vertical="center" wrapText="1"/>
    </xf>
    <xf numFmtId="0" fontId="8" fillId="11" borderId="1" xfId="3" applyFont="1" applyFill="1" applyBorder="1" applyAlignment="1">
      <alignment horizontal="center" vertical="center"/>
    </xf>
    <xf numFmtId="0" fontId="4" fillId="11" borderId="1" xfId="10" applyNumberFormat="1" applyFont="1" applyFill="1" applyBorder="1" applyAlignment="1">
      <alignment horizontal="center" vertical="center"/>
    </xf>
    <xf numFmtId="37" fontId="22" fillId="11" borderId="1" xfId="1" applyNumberFormat="1" applyFont="1" applyFill="1" applyBorder="1" applyAlignment="1">
      <alignment horizontal="center"/>
    </xf>
    <xf numFmtId="0" fontId="22" fillId="11" borderId="1" xfId="3" applyFont="1" applyFill="1" applyBorder="1" applyAlignment="1">
      <alignment horizontal="center"/>
    </xf>
    <xf numFmtId="1" fontId="22" fillId="11" borderId="1" xfId="3" applyNumberFormat="1" applyFont="1" applyFill="1" applyBorder="1" applyAlignment="1">
      <alignment horizontal="center"/>
    </xf>
    <xf numFmtId="166" fontId="22" fillId="11" borderId="1" xfId="3" applyNumberFormat="1" applyFont="1" applyFill="1" applyBorder="1" applyAlignment="1">
      <alignment horizontal="center"/>
    </xf>
    <xf numFmtId="2" fontId="22" fillId="11" borderId="1" xfId="3" applyNumberFormat="1" applyFont="1" applyFill="1" applyBorder="1" applyAlignment="1">
      <alignment horizontal="center"/>
    </xf>
    <xf numFmtId="1" fontId="22" fillId="8" borderId="1" xfId="3" applyNumberFormat="1" applyFont="1" applyFill="1" applyBorder="1" applyAlignment="1">
      <alignment horizontal="center"/>
    </xf>
    <xf numFmtId="0" fontId="30" fillId="11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/>
    </xf>
    <xf numFmtId="0" fontId="30" fillId="7" borderId="1" xfId="0" applyFont="1" applyFill="1" applyBorder="1" applyAlignment="1">
      <alignment horizontal="center" wrapText="1"/>
    </xf>
    <xf numFmtId="0" fontId="26" fillId="7" borderId="1" xfId="0" applyFont="1" applyFill="1" applyBorder="1" applyAlignment="1">
      <alignment horizontal="center" wrapText="1"/>
    </xf>
    <xf numFmtId="0" fontId="7" fillId="11" borderId="1" xfId="1" applyFont="1" applyFill="1" applyBorder="1" applyAlignment="1">
      <alignment horizontal="center" vertical="center"/>
    </xf>
    <xf numFmtId="0" fontId="7" fillId="8" borderId="1" xfId="1" applyFont="1" applyFill="1" applyBorder="1" applyAlignment="1">
      <alignment horizontal="center" vertical="center"/>
    </xf>
    <xf numFmtId="1" fontId="26" fillId="11" borderId="1" xfId="0" applyNumberFormat="1" applyFont="1" applyFill="1" applyBorder="1" applyAlignment="1">
      <alignment horizontal="center"/>
    </xf>
    <xf numFmtId="1" fontId="30" fillId="11" borderId="1" xfId="3" applyNumberFormat="1" applyFont="1" applyFill="1" applyBorder="1" applyAlignment="1">
      <alignment horizontal="left"/>
    </xf>
    <xf numFmtId="1" fontId="22" fillId="11" borderId="1" xfId="3" applyNumberFormat="1" applyFont="1" applyFill="1" applyBorder="1" applyAlignment="1">
      <alignment horizontal="left"/>
    </xf>
    <xf numFmtId="1" fontId="22" fillId="8" borderId="1" xfId="3" applyNumberFormat="1" applyFont="1" applyFill="1" applyBorder="1" applyAlignment="1">
      <alignment horizontal="center" vertical="center"/>
    </xf>
    <xf numFmtId="37" fontId="4" fillId="11" borderId="1" xfId="3" applyNumberFormat="1" applyFont="1" applyFill="1" applyBorder="1" applyAlignment="1">
      <alignment horizontal="center"/>
    </xf>
    <xf numFmtId="1" fontId="22" fillId="11" borderId="1" xfId="23" applyNumberFormat="1" applyFont="1" applyFill="1" applyBorder="1" applyAlignment="1">
      <alignment horizontal="center" vertical="center"/>
    </xf>
    <xf numFmtId="3" fontId="4" fillId="11" borderId="1" xfId="3" applyNumberFormat="1" applyFont="1" applyFill="1" applyBorder="1" applyAlignment="1">
      <alignment horizontal="center"/>
    </xf>
    <xf numFmtId="1" fontId="22" fillId="8" borderId="1" xfId="3" applyNumberFormat="1" applyFont="1" applyFill="1" applyBorder="1" applyAlignment="1">
      <alignment horizontal="left" vertical="center"/>
    </xf>
    <xf numFmtId="37" fontId="22" fillId="11" borderId="1" xfId="3" applyNumberFormat="1" applyFont="1" applyFill="1" applyBorder="1" applyAlignment="1">
      <alignment horizontal="center"/>
    </xf>
    <xf numFmtId="37" fontId="22" fillId="11" borderId="1" xfId="3" applyNumberFormat="1" applyFont="1" applyFill="1" applyBorder="1" applyAlignment="1">
      <alignment horizontal="center" vertical="center"/>
    </xf>
    <xf numFmtId="166" fontId="22" fillId="11" borderId="1" xfId="3" applyNumberFormat="1" applyFont="1" applyFill="1" applyBorder="1" applyAlignment="1">
      <alignment horizontal="center" vertical="center"/>
    </xf>
    <xf numFmtId="2" fontId="22" fillId="11" borderId="1" xfId="3" applyNumberFormat="1" applyFont="1" applyFill="1" applyBorder="1" applyAlignment="1">
      <alignment horizontal="center" vertical="center"/>
    </xf>
    <xf numFmtId="0" fontId="22" fillId="11" borderId="1" xfId="0" applyFont="1" applyFill="1" applyBorder="1" applyAlignment="1">
      <alignment horizontal="center" vertical="center"/>
    </xf>
    <xf numFmtId="3" fontId="22" fillId="11" borderId="1" xfId="3" applyNumberFormat="1" applyFont="1" applyFill="1" applyBorder="1" applyAlignment="1">
      <alignment horizontal="center"/>
    </xf>
    <xf numFmtId="3" fontId="22" fillId="11" borderId="1" xfId="3" applyNumberFormat="1" applyFont="1" applyFill="1" applyBorder="1" applyAlignment="1">
      <alignment horizontal="center" vertical="center"/>
    </xf>
    <xf numFmtId="164" fontId="22" fillId="11" borderId="1" xfId="23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horizontal="center" vertical="center"/>
    </xf>
    <xf numFmtId="0" fontId="26" fillId="11" borderId="1" xfId="0" applyFont="1" applyFill="1" applyBorder="1" applyAlignment="1">
      <alignment horizontal="center"/>
    </xf>
    <xf numFmtId="1" fontId="22" fillId="11" borderId="1" xfId="3" quotePrefix="1" applyNumberFormat="1" applyFont="1" applyFill="1" applyBorder="1" applyAlignment="1">
      <alignment horizontal="center" vertical="center"/>
    </xf>
    <xf numFmtId="0" fontId="26" fillId="11" borderId="1" xfId="0" applyFont="1" applyFill="1" applyBorder="1" applyAlignment="1">
      <alignment horizontal="center" vertical="center" wrapText="1"/>
    </xf>
    <xf numFmtId="0" fontId="22" fillId="8" borderId="2" xfId="3" applyFont="1" applyFill="1" applyBorder="1" applyAlignment="1">
      <alignment vertical="center"/>
    </xf>
    <xf numFmtId="0" fontId="30" fillId="8" borderId="1" xfId="0" applyFont="1" applyFill="1" applyBorder="1" applyAlignment="1">
      <alignment horizontal="center" wrapText="1"/>
    </xf>
    <xf numFmtId="1" fontId="30" fillId="8" borderId="1" xfId="0" applyNumberFormat="1" applyFont="1" applyFill="1" applyBorder="1" applyAlignment="1">
      <alignment horizontal="center" wrapText="1"/>
    </xf>
    <xf numFmtId="166" fontId="22" fillId="8" borderId="1" xfId="3" applyNumberFormat="1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/>
    </xf>
    <xf numFmtId="0" fontId="26" fillId="8" borderId="1" xfId="0" applyFont="1" applyFill="1" applyBorder="1" applyAlignment="1">
      <alignment horizontal="center"/>
    </xf>
    <xf numFmtId="2" fontId="22" fillId="8" borderId="1" xfId="3" applyNumberFormat="1" applyFont="1" applyFill="1" applyBorder="1" applyAlignment="1">
      <alignment horizontal="center"/>
    </xf>
    <xf numFmtId="1" fontId="4" fillId="11" borderId="1" xfId="10" applyNumberFormat="1" applyFont="1" applyFill="1" applyBorder="1" applyAlignment="1">
      <alignment horizontal="center" vertical="center"/>
    </xf>
    <xf numFmtId="0" fontId="4" fillId="11" borderId="1" xfId="3" applyFont="1" applyFill="1" applyBorder="1" applyAlignment="1">
      <alignment horizontal="left"/>
    </xf>
    <xf numFmtId="1" fontId="4" fillId="8" borderId="1" xfId="3" applyNumberFormat="1" applyFont="1" applyFill="1" applyBorder="1" applyAlignment="1">
      <alignment horizontal="center" vertical="center"/>
    </xf>
    <xf numFmtId="0" fontId="8" fillId="11" borderId="1" xfId="3" applyFont="1" applyFill="1" applyBorder="1" applyAlignment="1">
      <alignment horizontal="left" vertical="top"/>
    </xf>
    <xf numFmtId="0" fontId="27" fillId="11" borderId="1" xfId="0" applyFont="1" applyFill="1" applyBorder="1" applyAlignment="1">
      <alignment vertical="center"/>
    </xf>
    <xf numFmtId="0" fontId="30" fillId="11" borderId="1" xfId="3" quotePrefix="1" applyFont="1" applyFill="1" applyBorder="1" applyAlignment="1">
      <alignment horizontal="center" vertical="center" wrapText="1"/>
    </xf>
    <xf numFmtId="0" fontId="22" fillId="11" borderId="1" xfId="0" applyFont="1" applyFill="1" applyBorder="1" applyAlignment="1">
      <alignment horizontal="center"/>
    </xf>
    <xf numFmtId="1" fontId="30" fillId="11" borderId="1" xfId="3" applyNumberFormat="1" applyFont="1" applyFill="1" applyBorder="1" applyAlignment="1">
      <alignment horizontal="center" vertical="center" wrapText="1"/>
    </xf>
    <xf numFmtId="166" fontId="30" fillId="11" borderId="1" xfId="3" applyNumberFormat="1" applyFont="1" applyFill="1" applyBorder="1" applyAlignment="1">
      <alignment horizontal="center" vertical="center" wrapText="1"/>
    </xf>
    <xf numFmtId="169" fontId="4" fillId="11" borderId="1" xfId="10" applyNumberFormat="1" applyFont="1" applyFill="1" applyBorder="1" applyAlignment="1">
      <alignment horizontal="center" vertical="center"/>
    </xf>
    <xf numFmtId="0" fontId="22" fillId="8" borderId="7" xfId="3" applyFont="1" applyFill="1" applyBorder="1" applyAlignment="1">
      <alignment horizontal="center" vertical="center"/>
    </xf>
    <xf numFmtId="37" fontId="22" fillId="11" borderId="1" xfId="1" applyNumberFormat="1" applyFont="1" applyFill="1" applyBorder="1" applyAlignment="1">
      <alignment vertical="center"/>
    </xf>
    <xf numFmtId="0" fontId="22" fillId="11" borderId="1" xfId="3" applyFont="1" applyFill="1" applyBorder="1" applyAlignment="1">
      <alignment vertical="center"/>
    </xf>
    <xf numFmtId="37" fontId="22" fillId="8" borderId="1" xfId="1" applyNumberFormat="1" applyFont="1" applyFill="1" applyBorder="1" applyAlignment="1">
      <alignment horizontal="center" vertical="center"/>
    </xf>
    <xf numFmtId="0" fontId="30" fillId="8" borderId="1" xfId="0" applyFont="1" applyFill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 wrapText="1"/>
    </xf>
    <xf numFmtId="166" fontId="22" fillId="8" borderId="1" xfId="3" applyNumberFormat="1" applyFont="1" applyFill="1" applyBorder="1" applyAlignment="1">
      <alignment horizontal="center" vertical="center"/>
    </xf>
    <xf numFmtId="2" fontId="22" fillId="8" borderId="1" xfId="3" applyNumberFormat="1" applyFont="1" applyFill="1" applyBorder="1" applyAlignment="1">
      <alignment horizontal="center" vertical="center"/>
    </xf>
    <xf numFmtId="1" fontId="22" fillId="12" borderId="1" xfId="3" applyNumberFormat="1" applyFont="1" applyFill="1" applyBorder="1" applyAlignment="1">
      <alignment horizontal="center" vertical="center"/>
    </xf>
    <xf numFmtId="0" fontId="22" fillId="11" borderId="26" xfId="0" applyFont="1" applyFill="1" applyBorder="1" applyAlignment="1">
      <alignment horizontal="center"/>
    </xf>
    <xf numFmtId="1" fontId="22" fillId="13" borderId="1" xfId="3" applyNumberFormat="1" applyFont="1" applyFill="1" applyBorder="1" applyAlignment="1">
      <alignment horizontal="center" vertical="center"/>
    </xf>
    <xf numFmtId="1" fontId="22" fillId="8" borderId="1" xfId="3" applyNumberFormat="1" applyFont="1" applyFill="1" applyBorder="1" applyAlignment="1">
      <alignment horizontal="center" vertical="top"/>
    </xf>
    <xf numFmtId="1" fontId="26" fillId="11" borderId="1" xfId="0" applyNumberFormat="1" applyFont="1" applyFill="1" applyBorder="1" applyAlignment="1">
      <alignment horizontal="center" vertical="center"/>
    </xf>
    <xf numFmtId="1" fontId="22" fillId="8" borderId="6" xfId="3" applyNumberFormat="1" applyFont="1" applyFill="1" applyBorder="1" applyAlignment="1">
      <alignment horizontal="center" vertical="center"/>
    </xf>
    <xf numFmtId="0" fontId="22" fillId="8" borderId="1" xfId="3" applyFont="1" applyFill="1" applyBorder="1" applyAlignment="1">
      <alignment vertical="center"/>
    </xf>
    <xf numFmtId="37" fontId="22" fillId="8" borderId="1" xfId="3" applyNumberFormat="1" applyFont="1" applyFill="1" applyBorder="1" applyAlignment="1">
      <alignment horizontal="center"/>
    </xf>
    <xf numFmtId="3" fontId="22" fillId="8" borderId="1" xfId="3" applyNumberFormat="1" applyFont="1" applyFill="1" applyBorder="1" applyAlignment="1">
      <alignment horizontal="center"/>
    </xf>
    <xf numFmtId="0" fontId="22" fillId="0" borderId="1" xfId="3" applyFont="1" applyBorder="1" applyAlignment="1">
      <alignment horizontal="center" vertical="top"/>
    </xf>
    <xf numFmtId="0" fontId="30" fillId="8" borderId="1" xfId="3" applyFont="1" applyFill="1" applyBorder="1" applyAlignment="1">
      <alignment horizontal="center" vertical="center" wrapText="1"/>
    </xf>
    <xf numFmtId="1" fontId="22" fillId="5" borderId="1" xfId="23" applyNumberFormat="1" applyFont="1" applyFill="1" applyBorder="1" applyAlignment="1">
      <alignment horizontal="center" vertical="center"/>
    </xf>
    <xf numFmtId="1" fontId="26" fillId="5" borderId="1" xfId="23" applyNumberFormat="1" applyFont="1" applyFill="1" applyBorder="1" applyAlignment="1">
      <alignment horizontal="center" vertical="center"/>
    </xf>
    <xf numFmtId="1" fontId="26" fillId="8" borderId="1" xfId="0" applyNumberFormat="1" applyFont="1" applyFill="1" applyBorder="1" applyAlignment="1">
      <alignment horizontal="center"/>
    </xf>
    <xf numFmtId="1" fontId="22" fillId="8" borderId="7" xfId="3" applyNumberFormat="1" applyFont="1" applyFill="1" applyBorder="1" applyAlignment="1">
      <alignment horizontal="left" vertical="center"/>
    </xf>
    <xf numFmtId="1" fontId="26" fillId="8" borderId="7" xfId="0" applyNumberFormat="1" applyFont="1" applyFill="1" applyBorder="1" applyAlignment="1">
      <alignment horizontal="center" vertical="center"/>
    </xf>
    <xf numFmtId="1" fontId="26" fillId="11" borderId="1" xfId="0" applyNumberFormat="1" applyFont="1" applyFill="1" applyBorder="1"/>
    <xf numFmtId="0" fontId="4" fillId="11" borderId="1" xfId="3" applyFont="1" applyFill="1" applyBorder="1" applyAlignment="1">
      <alignment horizontal="center" vertical="center"/>
    </xf>
    <xf numFmtId="37" fontId="22" fillId="8" borderId="1" xfId="1" applyNumberFormat="1" applyFont="1" applyFill="1" applyBorder="1" applyAlignment="1">
      <alignment horizontal="center"/>
    </xf>
    <xf numFmtId="0" fontId="26" fillId="8" borderId="1" xfId="0" applyFont="1" applyFill="1" applyBorder="1" applyAlignment="1">
      <alignment horizontal="center" wrapText="1"/>
    </xf>
    <xf numFmtId="3" fontId="30" fillId="11" borderId="1" xfId="0" applyNumberFormat="1" applyFont="1" applyFill="1" applyBorder="1" applyAlignment="1">
      <alignment horizontal="center" vertical="center" wrapText="1"/>
    </xf>
    <xf numFmtId="3" fontId="26" fillId="11" borderId="1" xfId="0" applyNumberFormat="1" applyFont="1" applyFill="1" applyBorder="1" applyAlignment="1">
      <alignment horizontal="center" vertical="center" wrapText="1"/>
    </xf>
    <xf numFmtId="1" fontId="22" fillId="8" borderId="1" xfId="3" applyNumberFormat="1" applyFont="1" applyFill="1" applyBorder="1" applyAlignment="1">
      <alignment horizontal="left"/>
    </xf>
    <xf numFmtId="0" fontId="26" fillId="11" borderId="1" xfId="0" applyFont="1" applyFill="1" applyBorder="1" applyAlignment="1">
      <alignment vertical="center"/>
    </xf>
    <xf numFmtId="0" fontId="26" fillId="11" borderId="1" xfId="0" applyFont="1" applyFill="1" applyBorder="1" applyAlignment="1">
      <alignment horizontal="center" vertical="center"/>
    </xf>
    <xf numFmtId="0" fontId="22" fillId="0" borderId="7" xfId="3" applyFont="1" applyBorder="1" applyAlignment="1">
      <alignment vertical="top"/>
    </xf>
    <xf numFmtId="0" fontId="22" fillId="7" borderId="1" xfId="3" applyFont="1" applyFill="1" applyBorder="1" applyAlignment="1">
      <alignment vertical="top"/>
    </xf>
    <xf numFmtId="0" fontId="22" fillId="0" borderId="5" xfId="3" applyFont="1" applyBorder="1" applyAlignment="1">
      <alignment vertical="top"/>
    </xf>
    <xf numFmtId="0" fontId="22" fillId="0" borderId="6" xfId="3" applyFont="1" applyBorder="1" applyAlignment="1">
      <alignment vertical="top"/>
    </xf>
    <xf numFmtId="0" fontId="22" fillId="7" borderId="1" xfId="3" applyFont="1" applyFill="1" applyBorder="1" applyAlignment="1">
      <alignment vertical="center"/>
    </xf>
    <xf numFmtId="0" fontId="22" fillId="4" borderId="7" xfId="3" applyFont="1" applyFill="1" applyBorder="1" applyAlignment="1">
      <alignment vertical="top"/>
    </xf>
    <xf numFmtId="0" fontId="22" fillId="4" borderId="1" xfId="3" applyFont="1" applyFill="1" applyBorder="1" applyAlignment="1">
      <alignment vertical="top"/>
    </xf>
    <xf numFmtId="0" fontId="22" fillId="4" borderId="1" xfId="3" applyFont="1" applyFill="1" applyBorder="1" applyAlignment="1">
      <alignment vertical="center"/>
    </xf>
    <xf numFmtId="0" fontId="22" fillId="4" borderId="20" xfId="3" applyFont="1" applyFill="1" applyBorder="1" applyAlignment="1">
      <alignment horizontal="left" vertical="center"/>
    </xf>
    <xf numFmtId="0" fontId="22" fillId="0" borderId="13" xfId="3" applyFont="1" applyBorder="1" applyAlignment="1">
      <alignment horizontal="center" vertical="center"/>
    </xf>
    <xf numFmtId="0" fontId="22" fillId="11" borderId="13" xfId="3" applyFont="1" applyFill="1" applyBorder="1" applyAlignment="1">
      <alignment horizontal="left" vertical="center"/>
    </xf>
    <xf numFmtId="0" fontId="22" fillId="11" borderId="20" xfId="3" applyFont="1" applyFill="1" applyBorder="1" applyAlignment="1">
      <alignment horizontal="left" vertical="center"/>
    </xf>
    <xf numFmtId="0" fontId="22" fillId="8" borderId="2" xfId="3" applyFont="1" applyFill="1" applyBorder="1" applyAlignment="1">
      <alignment horizontal="center" vertical="center"/>
    </xf>
    <xf numFmtId="0" fontId="22" fillId="0" borderId="20" xfId="3" applyFont="1" applyBorder="1" applyAlignment="1">
      <alignment horizontal="left" vertical="center"/>
    </xf>
    <xf numFmtId="0" fontId="22" fillId="0" borderId="10" xfId="3" applyFont="1" applyBorder="1" applyAlignment="1">
      <alignment horizontal="left" vertical="center"/>
    </xf>
    <xf numFmtId="0" fontId="22" fillId="0" borderId="13" xfId="3" applyFont="1" applyBorder="1" applyAlignment="1">
      <alignment horizontal="left" vertical="center"/>
    </xf>
    <xf numFmtId="0" fontId="22" fillId="0" borderId="13" xfId="3" applyFont="1" applyBorder="1" applyAlignment="1">
      <alignment vertical="center"/>
    </xf>
    <xf numFmtId="0" fontId="22" fillId="0" borderId="20" xfId="3" applyFont="1" applyBorder="1" applyAlignment="1">
      <alignment vertical="center"/>
    </xf>
    <xf numFmtId="1" fontId="22" fillId="11" borderId="1" xfId="3" applyNumberFormat="1" applyFont="1" applyFill="1" applyBorder="1" applyAlignment="1">
      <alignment vertical="center"/>
    </xf>
    <xf numFmtId="0" fontId="22" fillId="0" borderId="1" xfId="3" applyFont="1" applyBorder="1" applyAlignment="1">
      <alignment vertical="center"/>
    </xf>
    <xf numFmtId="0" fontId="30" fillId="0" borderId="1" xfId="3" applyFont="1" applyBorder="1" applyAlignment="1">
      <alignment horizontal="left" vertical="center"/>
    </xf>
    <xf numFmtId="0" fontId="30" fillId="0" borderId="1" xfId="3" applyFont="1" applyBorder="1" applyAlignment="1">
      <alignment horizontal="left" vertical="top"/>
    </xf>
    <xf numFmtId="0" fontId="22" fillId="0" borderId="1" xfId="3" applyFont="1" applyBorder="1" applyAlignment="1">
      <alignment horizontal="left"/>
    </xf>
    <xf numFmtId="170" fontId="22" fillId="7" borderId="1" xfId="3" applyNumberFormat="1" applyFont="1" applyFill="1" applyBorder="1" applyAlignment="1">
      <alignment horizontal="center"/>
    </xf>
    <xf numFmtId="0" fontId="22" fillId="11" borderId="13" xfId="3" quotePrefix="1" applyFont="1" applyFill="1" applyBorder="1" applyAlignment="1">
      <alignment horizontal="center" vertical="center"/>
    </xf>
    <xf numFmtId="0" fontId="22" fillId="11" borderId="20" xfId="3" applyFont="1" applyFill="1" applyBorder="1" applyAlignment="1">
      <alignment horizontal="center" vertical="center"/>
    </xf>
    <xf numFmtId="0" fontId="22" fillId="9" borderId="20" xfId="3" applyFont="1" applyFill="1" applyBorder="1" applyAlignment="1">
      <alignment horizontal="center" vertical="center"/>
    </xf>
    <xf numFmtId="0" fontId="22" fillId="0" borderId="10" xfId="3" applyFont="1" applyBorder="1" applyAlignment="1">
      <alignment horizontal="center" vertical="center"/>
    </xf>
    <xf numFmtId="0" fontId="22" fillId="8" borderId="20" xfId="3" applyFont="1" applyFill="1" applyBorder="1" applyAlignment="1">
      <alignment horizontal="center" vertical="center"/>
    </xf>
    <xf numFmtId="1" fontId="27" fillId="11" borderId="1" xfId="0" applyNumberFormat="1" applyFont="1" applyFill="1" applyBorder="1" applyAlignment="1">
      <alignment horizontal="center"/>
    </xf>
    <xf numFmtId="1" fontId="22" fillId="11" borderId="1" xfId="7" quotePrefix="1" applyNumberFormat="1" applyFont="1" applyFill="1" applyBorder="1" applyAlignment="1">
      <alignment horizontal="center" vertical="center"/>
    </xf>
    <xf numFmtId="0" fontId="4" fillId="8" borderId="1" xfId="3" applyFont="1" applyFill="1" applyBorder="1" applyAlignment="1">
      <alignment horizontal="left" vertical="center"/>
    </xf>
    <xf numFmtId="1" fontId="35" fillId="11" borderId="1" xfId="0" applyNumberFormat="1" applyFont="1" applyFill="1" applyBorder="1" applyAlignment="1">
      <alignment horizontal="center"/>
    </xf>
    <xf numFmtId="1" fontId="35" fillId="11" borderId="1" xfId="0" quotePrefix="1" applyNumberFormat="1" applyFont="1" applyFill="1" applyBorder="1" applyAlignment="1">
      <alignment horizontal="center"/>
    </xf>
    <xf numFmtId="0" fontId="22" fillId="9" borderId="7" xfId="3" applyFont="1" applyFill="1" applyBorder="1" applyAlignment="1">
      <alignment vertical="center"/>
    </xf>
    <xf numFmtId="0" fontId="22" fillId="11" borderId="1" xfId="3" applyFont="1" applyFill="1" applyBorder="1" applyAlignment="1">
      <alignment horizontal="left" vertical="center"/>
    </xf>
    <xf numFmtId="0" fontId="22" fillId="0" borderId="6" xfId="3" applyFont="1" applyBorder="1" applyAlignment="1">
      <alignment vertical="center"/>
    </xf>
    <xf numFmtId="0" fontId="30" fillId="11" borderId="1" xfId="3" applyFont="1" applyFill="1" applyBorder="1" applyAlignment="1">
      <alignment horizontal="left"/>
    </xf>
    <xf numFmtId="0" fontId="22" fillId="11" borderId="1" xfId="3" applyFont="1" applyFill="1" applyBorder="1" applyAlignment="1">
      <alignment horizontal="left"/>
    </xf>
    <xf numFmtId="1" fontId="22" fillId="11" borderId="1" xfId="10" applyNumberFormat="1" applyFont="1" applyFill="1" applyBorder="1" applyAlignment="1">
      <alignment horizontal="center" vertical="top"/>
    </xf>
    <xf numFmtId="0" fontId="22" fillId="11" borderId="1" xfId="3" applyFont="1" applyFill="1" applyBorder="1"/>
    <xf numFmtId="0" fontId="22" fillId="4" borderId="5" xfId="3" applyFont="1" applyFill="1" applyBorder="1" applyAlignment="1">
      <alignment vertical="center"/>
    </xf>
    <xf numFmtId="0" fontId="22" fillId="4" borderId="13" xfId="3" applyFont="1" applyFill="1" applyBorder="1" applyAlignment="1">
      <alignment horizontal="center" vertical="center"/>
    </xf>
    <xf numFmtId="0" fontId="22" fillId="4" borderId="20" xfId="3" applyFont="1" applyFill="1" applyBorder="1" applyAlignment="1">
      <alignment horizontal="center" vertical="center"/>
    </xf>
    <xf numFmtId="0" fontId="26" fillId="11" borderId="1" xfId="0" applyFont="1" applyFill="1" applyBorder="1"/>
    <xf numFmtId="1" fontId="26" fillId="11" borderId="1" xfId="3" applyNumberFormat="1" applyFont="1" applyFill="1" applyBorder="1" applyAlignment="1">
      <alignment horizontal="center" vertical="center"/>
    </xf>
    <xf numFmtId="0" fontId="0" fillId="11" borderId="1" xfId="0" applyFill="1" applyBorder="1"/>
    <xf numFmtId="0" fontId="0" fillId="11" borderId="1" xfId="0" applyFill="1" applyBorder="1" applyAlignment="1">
      <alignment horizontal="center"/>
    </xf>
    <xf numFmtId="0" fontId="8" fillId="11" borderId="5" xfId="3" applyFont="1" applyFill="1" applyBorder="1" applyAlignment="1">
      <alignment horizontal="center" vertical="center" wrapText="1"/>
    </xf>
    <xf numFmtId="0" fontId="4" fillId="11" borderId="7" xfId="10" applyNumberFormat="1" applyFont="1" applyFill="1" applyBorder="1" applyAlignment="1">
      <alignment horizontal="center" vertical="center"/>
    </xf>
    <xf numFmtId="0" fontId="8" fillId="11" borderId="7" xfId="3" applyFont="1" applyFill="1" applyBorder="1" applyAlignment="1">
      <alignment horizontal="center" vertical="center" wrapText="1"/>
    </xf>
    <xf numFmtId="0" fontId="22" fillId="11" borderId="1" xfId="1" applyFont="1" applyFill="1" applyBorder="1" applyAlignment="1">
      <alignment horizontal="center" vertical="center"/>
    </xf>
    <xf numFmtId="1" fontId="22" fillId="8" borderId="1" xfId="3" applyNumberFormat="1" applyFont="1" applyFill="1" applyBorder="1" applyAlignment="1">
      <alignment vertical="center"/>
    </xf>
    <xf numFmtId="0" fontId="22" fillId="8" borderId="7" xfId="3" applyFont="1" applyFill="1" applyBorder="1" applyAlignment="1">
      <alignment vertical="top"/>
    </xf>
    <xf numFmtId="0" fontId="26" fillId="9" borderId="1" xfId="0" applyFont="1" applyFill="1" applyBorder="1" applyAlignment="1">
      <alignment horizontal="left" vertical="center"/>
    </xf>
    <xf numFmtId="1" fontId="35" fillId="9" borderId="1" xfId="0" applyNumberFormat="1" applyFont="1" applyFill="1" applyBorder="1" applyAlignment="1">
      <alignment horizontal="center" vertical="center"/>
    </xf>
    <xf numFmtId="1" fontId="22" fillId="9" borderId="1" xfId="7" applyNumberFormat="1" applyFont="1" applyFill="1" applyBorder="1" applyAlignment="1">
      <alignment horizontal="center" vertical="center"/>
    </xf>
    <xf numFmtId="1" fontId="22" fillId="9" borderId="1" xfId="7" quotePrefix="1" applyNumberFormat="1" applyFont="1" applyFill="1" applyBorder="1" applyAlignment="1">
      <alignment horizontal="center" vertical="center"/>
    </xf>
    <xf numFmtId="1" fontId="22" fillId="9" borderId="1" xfId="10" applyNumberFormat="1" applyFont="1" applyFill="1" applyBorder="1" applyAlignment="1">
      <alignment horizontal="center" vertical="center"/>
    </xf>
    <xf numFmtId="1" fontId="22" fillId="9" borderId="1" xfId="3" applyNumberFormat="1" applyFont="1" applyFill="1" applyBorder="1" applyAlignment="1">
      <alignment horizontal="center" vertical="center"/>
    </xf>
    <xf numFmtId="3" fontId="22" fillId="11" borderId="1" xfId="7" applyNumberFormat="1" applyFont="1" applyFill="1" applyBorder="1" applyAlignment="1">
      <alignment horizontal="center" vertical="center"/>
    </xf>
    <xf numFmtId="3" fontId="22" fillId="11" borderId="1" xfId="10" applyNumberFormat="1" applyFont="1" applyFill="1" applyBorder="1" applyAlignment="1">
      <alignment horizontal="center" vertical="center"/>
    </xf>
    <xf numFmtId="0" fontId="30" fillId="11" borderId="5" xfId="3" applyFont="1" applyFill="1" applyBorder="1" applyAlignment="1">
      <alignment horizontal="center" vertical="center" wrapText="1"/>
    </xf>
    <xf numFmtId="0" fontId="30" fillId="11" borderId="7" xfId="3" applyFont="1" applyFill="1" applyBorder="1" applyAlignment="1">
      <alignment horizontal="center" vertical="center" wrapText="1"/>
    </xf>
    <xf numFmtId="0" fontId="29" fillId="11" borderId="1" xfId="0" applyFont="1" applyFill="1" applyBorder="1"/>
    <xf numFmtId="0" fontId="4" fillId="8" borderId="1" xfId="3" applyFont="1" applyFill="1" applyBorder="1" applyAlignment="1">
      <alignment vertical="top"/>
    </xf>
    <xf numFmtId="0" fontId="4" fillId="8" borderId="1" xfId="3" applyFont="1" applyFill="1" applyBorder="1" applyAlignment="1">
      <alignment horizontal="center"/>
    </xf>
    <xf numFmtId="0" fontId="4" fillId="8" borderId="1" xfId="3" applyFont="1" applyFill="1" applyBorder="1"/>
    <xf numFmtId="0" fontId="8" fillId="8" borderId="5" xfId="3" applyFont="1" applyFill="1" applyBorder="1" applyAlignment="1">
      <alignment horizontal="center" vertical="center" wrapText="1"/>
    </xf>
    <xf numFmtId="0" fontId="34" fillId="11" borderId="1" xfId="0" applyFont="1" applyFill="1" applyBorder="1"/>
    <xf numFmtId="0" fontId="22" fillId="6" borderId="1" xfId="3" applyFont="1" applyFill="1" applyBorder="1" applyAlignment="1">
      <alignment horizontal="center" vertical="center"/>
    </xf>
    <xf numFmtId="0" fontId="30" fillId="11" borderId="5" xfId="0" applyFont="1" applyFill="1" applyBorder="1" applyAlignment="1">
      <alignment horizontal="center"/>
    </xf>
    <xf numFmtId="1" fontId="22" fillId="8" borderId="15" xfId="3" applyNumberFormat="1" applyFont="1" applyFill="1" applyBorder="1" applyAlignment="1">
      <alignment horizontal="center" vertical="center"/>
    </xf>
    <xf numFmtId="1" fontId="22" fillId="11" borderId="5" xfId="3" applyNumberFormat="1" applyFont="1" applyFill="1" applyBorder="1" applyAlignment="1">
      <alignment vertical="top"/>
    </xf>
    <xf numFmtId="1" fontId="28" fillId="11" borderId="1" xfId="23" applyNumberFormat="1" applyFont="1" applyFill="1" applyBorder="1" applyAlignment="1">
      <alignment horizontal="center" vertical="center"/>
    </xf>
    <xf numFmtId="1" fontId="22" fillId="11" borderId="15" xfId="3" applyNumberFormat="1" applyFont="1" applyFill="1" applyBorder="1" applyAlignment="1">
      <alignment horizontal="center" vertical="center"/>
    </xf>
    <xf numFmtId="1" fontId="22" fillId="11" borderId="7" xfId="3" applyNumberFormat="1" applyFont="1" applyFill="1" applyBorder="1" applyAlignment="1">
      <alignment vertical="top"/>
    </xf>
    <xf numFmtId="164" fontId="30" fillId="11" borderId="1" xfId="23" applyFont="1" applyFill="1" applyBorder="1" applyAlignment="1">
      <alignment horizontal="center" vertical="center" wrapText="1"/>
    </xf>
    <xf numFmtId="0" fontId="4" fillId="8" borderId="1" xfId="3" applyFont="1" applyFill="1" applyBorder="1" applyAlignment="1">
      <alignment horizontal="left"/>
    </xf>
    <xf numFmtId="0" fontId="7" fillId="8" borderId="5" xfId="1" applyFont="1" applyFill="1" applyBorder="1" applyAlignment="1">
      <alignment horizontal="center" vertical="center"/>
    </xf>
    <xf numFmtId="0" fontId="7" fillId="11" borderId="5" xfId="1" applyFont="1" applyFill="1" applyBorder="1" applyAlignment="1">
      <alignment horizontal="left"/>
    </xf>
    <xf numFmtId="0" fontId="37" fillId="11" borderId="1" xfId="10" applyNumberFormat="1" applyFont="1" applyFill="1" applyBorder="1" applyAlignment="1">
      <alignment horizontal="center" vertical="center"/>
    </xf>
    <xf numFmtId="0" fontId="7" fillId="11" borderId="7" xfId="1" applyFont="1" applyFill="1" applyBorder="1" applyAlignment="1">
      <alignment horizontal="left"/>
    </xf>
    <xf numFmtId="0" fontId="38" fillId="11" borderId="1" xfId="3" applyFont="1" applyFill="1" applyBorder="1" applyAlignment="1">
      <alignment horizontal="center" vertical="center" wrapText="1"/>
    </xf>
    <xf numFmtId="0" fontId="4" fillId="11" borderId="7" xfId="3" applyFont="1" applyFill="1" applyBorder="1" applyAlignment="1">
      <alignment horizontal="left"/>
    </xf>
    <xf numFmtId="0" fontId="4" fillId="11" borderId="7" xfId="1" applyFont="1" applyFill="1" applyBorder="1" applyAlignment="1">
      <alignment horizontal="left"/>
    </xf>
    <xf numFmtId="0" fontId="4" fillId="11" borderId="1" xfId="1" applyFont="1" applyFill="1" applyBorder="1" applyAlignment="1">
      <alignment horizontal="center" vertical="center"/>
    </xf>
    <xf numFmtId="0" fontId="4" fillId="11" borderId="6" xfId="3" applyFont="1" applyFill="1" applyBorder="1" applyAlignment="1">
      <alignment horizontal="left"/>
    </xf>
    <xf numFmtId="0" fontId="8" fillId="8" borderId="1" xfId="3" applyFont="1" applyFill="1" applyBorder="1" applyAlignment="1">
      <alignment horizontal="center" vertical="center" wrapText="1"/>
    </xf>
    <xf numFmtId="2" fontId="8" fillId="8" borderId="1" xfId="3" applyNumberFormat="1" applyFont="1" applyFill="1" applyBorder="1" applyAlignment="1">
      <alignment horizontal="center" vertical="center" wrapText="1"/>
    </xf>
    <xf numFmtId="1" fontId="30" fillId="8" borderId="6" xfId="0" applyNumberFormat="1" applyFont="1" applyFill="1" applyBorder="1"/>
    <xf numFmtId="1" fontId="30" fillId="8" borderId="6" xfId="0" applyNumberFormat="1" applyFont="1" applyFill="1" applyBorder="1" applyAlignment="1">
      <alignment horizontal="center" vertical="center"/>
    </xf>
    <xf numFmtId="1" fontId="30" fillId="8" borderId="1" xfId="0" applyNumberFormat="1" applyFont="1" applyFill="1" applyBorder="1" applyAlignment="1">
      <alignment horizontal="center" vertical="center"/>
    </xf>
    <xf numFmtId="1" fontId="26" fillId="8" borderId="5" xfId="0" applyNumberFormat="1" applyFont="1" applyFill="1" applyBorder="1" applyAlignment="1">
      <alignment horizontal="center"/>
    </xf>
    <xf numFmtId="1" fontId="30" fillId="0" borderId="1" xfId="0" applyNumberFormat="1" applyFont="1" applyBorder="1"/>
    <xf numFmtId="1" fontId="30" fillId="0" borderId="1" xfId="0" applyNumberFormat="1" applyFont="1" applyBorder="1" applyAlignment="1">
      <alignment horizontal="center"/>
    </xf>
    <xf numFmtId="0" fontId="30" fillId="11" borderId="1" xfId="0" applyFont="1" applyFill="1" applyBorder="1"/>
    <xf numFmtId="1" fontId="26" fillId="11" borderId="1" xfId="0" applyNumberFormat="1" applyFont="1" applyFill="1" applyBorder="1" applyAlignment="1">
      <alignment horizontal="center" wrapText="1"/>
    </xf>
    <xf numFmtId="0" fontId="26" fillId="11" borderId="1" xfId="0" applyFont="1" applyFill="1" applyBorder="1" applyAlignment="1">
      <alignment horizontal="center" wrapText="1"/>
    </xf>
    <xf numFmtId="37" fontId="26" fillId="11" borderId="1" xfId="0" applyNumberFormat="1" applyFont="1" applyFill="1" applyBorder="1" applyAlignment="1">
      <alignment horizontal="center" wrapText="1"/>
    </xf>
    <xf numFmtId="0" fontId="36" fillId="11" borderId="1" xfId="0" applyFont="1" applyFill="1" applyBorder="1" applyAlignment="1">
      <alignment wrapText="1"/>
    </xf>
    <xf numFmtId="0" fontId="3" fillId="5" borderId="1" xfId="3" applyFont="1" applyFill="1" applyBorder="1" applyAlignment="1">
      <alignment horizontal="center" vertical="center"/>
    </xf>
    <xf numFmtId="0" fontId="15" fillId="5" borderId="1" xfId="3" applyFont="1" applyFill="1" applyBorder="1" applyAlignment="1">
      <alignment horizontal="center" vertical="center"/>
    </xf>
    <xf numFmtId="0" fontId="21" fillId="5" borderId="1" xfId="3" applyFont="1" applyFill="1" applyBorder="1" applyAlignment="1">
      <alignment horizontal="center" vertical="center"/>
    </xf>
    <xf numFmtId="1" fontId="21" fillId="0" borderId="1" xfId="3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0" fontId="22" fillId="9" borderId="1" xfId="3" applyFont="1" applyFill="1" applyBorder="1" applyAlignment="1">
      <alignment horizontal="center" vertical="top"/>
    </xf>
    <xf numFmtId="0" fontId="22" fillId="9" borderId="1" xfId="3" applyFont="1" applyFill="1" applyBorder="1" applyAlignment="1">
      <alignment horizontal="center" vertical="center"/>
    </xf>
    <xf numFmtId="37" fontId="22" fillId="9" borderId="1" xfId="3" applyNumberFormat="1" applyFont="1" applyFill="1" applyBorder="1" applyAlignment="1">
      <alignment horizontal="center" vertical="center"/>
    </xf>
    <xf numFmtId="164" fontId="22" fillId="9" borderId="1" xfId="23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horizontal="center"/>
    </xf>
    <xf numFmtId="0" fontId="22" fillId="6" borderId="1" xfId="3" applyFont="1" applyFill="1" applyBorder="1" applyAlignment="1">
      <alignment horizontal="center"/>
    </xf>
    <xf numFmtId="40" fontId="22" fillId="6" borderId="1" xfId="3" applyNumberFormat="1" applyFont="1" applyFill="1" applyBorder="1" applyAlignment="1">
      <alignment horizontal="center" vertical="center"/>
    </xf>
    <xf numFmtId="3" fontId="22" fillId="6" borderId="1" xfId="3" applyNumberFormat="1" applyFont="1" applyFill="1" applyBorder="1" applyAlignment="1">
      <alignment horizontal="center"/>
    </xf>
    <xf numFmtId="37" fontId="22" fillId="6" borderId="1" xfId="3" applyNumberFormat="1" applyFont="1" applyFill="1" applyBorder="1" applyAlignment="1">
      <alignment horizontal="center"/>
    </xf>
    <xf numFmtId="37" fontId="22" fillId="0" borderId="1" xfId="1" applyNumberFormat="1" applyFont="1" applyBorder="1" applyAlignment="1">
      <alignment horizontal="center" vertical="center"/>
    </xf>
    <xf numFmtId="164" fontId="30" fillId="5" borderId="1" xfId="23" applyFont="1" applyFill="1" applyBorder="1" applyAlignment="1">
      <alignment horizontal="center" vertical="center" wrapText="1"/>
    </xf>
    <xf numFmtId="1" fontId="22" fillId="5" borderId="1" xfId="3" applyNumberFormat="1" applyFont="1" applyFill="1" applyBorder="1" applyAlignment="1">
      <alignment horizontal="center" vertical="center"/>
    </xf>
    <xf numFmtId="1" fontId="26" fillId="0" borderId="1" xfId="0" applyNumberFormat="1" applyFont="1" applyBorder="1" applyAlignment="1">
      <alignment horizontal="center" vertical="center" wrapText="1"/>
    </xf>
    <xf numFmtId="166" fontId="22" fillId="0" borderId="1" xfId="3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37" fontId="22" fillId="5" borderId="1" xfId="3" applyNumberFormat="1" applyFont="1" applyFill="1" applyBorder="1" applyAlignment="1">
      <alignment horizontal="center" vertical="center"/>
    </xf>
    <xf numFmtId="37" fontId="22" fillId="5" borderId="1" xfId="1" applyNumberFormat="1" applyFont="1" applyFill="1" applyBorder="1" applyAlignment="1">
      <alignment horizontal="center" vertical="center"/>
    </xf>
    <xf numFmtId="0" fontId="22" fillId="5" borderId="1" xfId="3" applyFont="1" applyFill="1" applyBorder="1" applyAlignment="1">
      <alignment horizontal="center" vertical="center"/>
    </xf>
    <xf numFmtId="37" fontId="26" fillId="0" borderId="1" xfId="0" applyNumberFormat="1" applyFont="1" applyBorder="1" applyAlignment="1">
      <alignment horizontal="center" vertical="center" wrapText="1"/>
    </xf>
    <xf numFmtId="164" fontId="22" fillId="5" borderId="1" xfId="23" applyFont="1" applyFill="1" applyBorder="1" applyAlignment="1">
      <alignment horizontal="center" vertical="center"/>
    </xf>
    <xf numFmtId="3" fontId="22" fillId="0" borderId="1" xfId="3" applyNumberFormat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 wrapText="1"/>
    </xf>
    <xf numFmtId="0" fontId="3" fillId="0" borderId="15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22" fillId="0" borderId="2" xfId="3" applyFont="1" applyBorder="1" applyAlignment="1">
      <alignment horizontal="center" vertical="center"/>
    </xf>
    <xf numFmtId="0" fontId="22" fillId="0" borderId="4" xfId="3" applyFont="1" applyBorder="1" applyAlignment="1">
      <alignment horizontal="center" vertical="center"/>
    </xf>
    <xf numFmtId="0" fontId="3" fillId="0" borderId="0" xfId="1" applyFont="1" applyAlignment="1">
      <alignment horizontal="center" wrapText="1"/>
    </xf>
    <xf numFmtId="0" fontId="3" fillId="0" borderId="0" xfId="3" applyFont="1" applyAlignment="1">
      <alignment horizontal="center" vertical="center"/>
    </xf>
    <xf numFmtId="0" fontId="3" fillId="0" borderId="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1" xfId="3" applyFont="1" applyBorder="1" applyAlignment="1">
      <alignment horizontal="center" vertical="center" wrapText="1"/>
    </xf>
    <xf numFmtId="0" fontId="15" fillId="0" borderId="5" xfId="3" applyFont="1" applyBorder="1" applyAlignment="1">
      <alignment horizontal="center" vertical="center" wrapText="1"/>
    </xf>
    <xf numFmtId="0" fontId="15" fillId="0" borderId="7" xfId="3" applyFont="1" applyBorder="1" applyAlignment="1">
      <alignment horizontal="center" vertical="center" wrapText="1"/>
    </xf>
    <xf numFmtId="0" fontId="15" fillId="0" borderId="6" xfId="3" applyFont="1" applyBorder="1" applyAlignment="1">
      <alignment horizontal="center" vertical="center" wrapText="1"/>
    </xf>
    <xf numFmtId="0" fontId="22" fillId="0" borderId="1" xfId="3" applyFont="1" applyBorder="1" applyAlignment="1">
      <alignment horizontal="center" vertical="top"/>
    </xf>
    <xf numFmtId="0" fontId="15" fillId="0" borderId="13" xfId="3" applyFont="1" applyBorder="1" applyAlignment="1">
      <alignment horizontal="center" vertical="center"/>
    </xf>
    <xf numFmtId="0" fontId="15" fillId="0" borderId="15" xfId="3" applyFont="1" applyBorder="1" applyAlignment="1">
      <alignment horizontal="center" vertical="center"/>
    </xf>
    <xf numFmtId="0" fontId="15" fillId="0" borderId="20" xfId="3" applyFont="1" applyBorder="1" applyAlignment="1">
      <alignment horizontal="center" vertical="center"/>
    </xf>
    <xf numFmtId="0" fontId="15" fillId="0" borderId="14" xfId="3" applyFont="1" applyBorder="1" applyAlignment="1">
      <alignment horizontal="center" vertical="center"/>
    </xf>
    <xf numFmtId="0" fontId="22" fillId="0" borderId="1" xfId="3" applyFont="1" applyBorder="1" applyAlignment="1">
      <alignment horizontal="center" vertical="center"/>
    </xf>
    <xf numFmtId="0" fontId="15" fillId="0" borderId="1" xfId="3" applyFont="1" applyBorder="1" applyAlignment="1">
      <alignment horizontal="center" vertical="center" wrapText="1"/>
    </xf>
    <xf numFmtId="0" fontId="15" fillId="0" borderId="1" xfId="3" applyFont="1" applyBorder="1" applyAlignment="1">
      <alignment horizontal="center" vertical="center"/>
    </xf>
    <xf numFmtId="1" fontId="22" fillId="0" borderId="1" xfId="3" applyNumberFormat="1" applyFont="1" applyBorder="1" applyAlignment="1">
      <alignment horizontal="center" vertical="center"/>
    </xf>
    <xf numFmtId="0" fontId="21" fillId="0" borderId="2" xfId="3" applyFont="1" applyBorder="1" applyAlignment="1">
      <alignment horizontal="center" vertical="center"/>
    </xf>
    <xf numFmtId="0" fontId="21" fillId="0" borderId="4" xfId="3" applyFont="1" applyBorder="1" applyAlignment="1">
      <alignment horizontal="center" vertical="center"/>
    </xf>
    <xf numFmtId="0" fontId="22" fillId="0" borderId="2" xfId="3" applyFont="1" applyBorder="1" applyAlignment="1">
      <alignment horizontal="center" vertical="top"/>
    </xf>
    <xf numFmtId="0" fontId="22" fillId="0" borderId="4" xfId="3" applyFont="1" applyBorder="1" applyAlignment="1">
      <alignment horizontal="center" vertical="top"/>
    </xf>
    <xf numFmtId="0" fontId="15" fillId="0" borderId="0" xfId="3" applyFont="1" applyAlignment="1">
      <alignment horizontal="center" vertical="center"/>
    </xf>
    <xf numFmtId="0" fontId="15" fillId="9" borderId="2" xfId="3" applyFont="1" applyFill="1" applyBorder="1" applyAlignment="1">
      <alignment horizontal="center" vertical="center"/>
    </xf>
    <xf numFmtId="0" fontId="22" fillId="9" borderId="4" xfId="3" applyFont="1" applyFill="1" applyBorder="1" applyAlignment="1">
      <alignment horizontal="center" vertical="center"/>
    </xf>
    <xf numFmtId="0" fontId="3" fillId="0" borderId="0" xfId="3" applyFont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0" fontId="3" fillId="0" borderId="13" xfId="3" applyFont="1" applyBorder="1" applyAlignment="1">
      <alignment horizontal="center" vertical="center"/>
    </xf>
    <xf numFmtId="0" fontId="3" fillId="0" borderId="15" xfId="3" applyFont="1" applyBorder="1" applyAlignment="1">
      <alignment horizontal="center" vertical="center"/>
    </xf>
    <xf numFmtId="0" fontId="3" fillId="0" borderId="20" xfId="3" applyFont="1" applyBorder="1" applyAlignment="1">
      <alignment horizontal="center" vertical="center"/>
    </xf>
    <xf numFmtId="0" fontId="3" fillId="0" borderId="14" xfId="3" applyFont="1" applyBorder="1" applyAlignment="1">
      <alignment horizontal="center" vertical="center"/>
    </xf>
    <xf numFmtId="0" fontId="3" fillId="0" borderId="10" xfId="3" applyFont="1" applyBorder="1" applyAlignment="1">
      <alignment horizontal="center" vertical="center"/>
    </xf>
    <xf numFmtId="0" fontId="3" fillId="0" borderId="12" xfId="3" applyFont="1" applyBorder="1" applyAlignment="1">
      <alignment horizontal="center" vertical="center"/>
    </xf>
    <xf numFmtId="0" fontId="4" fillId="0" borderId="11" xfId="3" applyFont="1" applyBorder="1" applyAlignment="1">
      <alignment horizontal="center" vertical="center"/>
    </xf>
    <xf numFmtId="0" fontId="15" fillId="5" borderId="1" xfId="3" applyFont="1" applyFill="1" applyBorder="1" applyAlignment="1">
      <alignment horizontal="center" vertical="center" wrapText="1"/>
    </xf>
    <xf numFmtId="0" fontId="3" fillId="0" borderId="1" xfId="3" applyFont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 wrapText="1"/>
    </xf>
    <xf numFmtId="0" fontId="3" fillId="0" borderId="16" xfId="3" applyFont="1" applyBorder="1" applyAlignment="1">
      <alignment horizontal="center" vertical="center" wrapText="1"/>
    </xf>
    <xf numFmtId="0" fontId="3" fillId="0" borderId="7" xfId="3" applyFont="1" applyBorder="1" applyAlignment="1">
      <alignment horizontal="center" vertical="center" wrapText="1"/>
    </xf>
    <xf numFmtId="0" fontId="3" fillId="0" borderId="6" xfId="3" applyFont="1" applyBorder="1" applyAlignment="1">
      <alignment horizontal="center" vertical="center" wrapText="1"/>
    </xf>
    <xf numFmtId="0" fontId="3" fillId="0" borderId="17" xfId="3" applyFont="1" applyBorder="1" applyAlignment="1">
      <alignment horizontal="center" vertical="center" wrapText="1"/>
    </xf>
    <xf numFmtId="0" fontId="3" fillId="0" borderId="18" xfId="3" applyFont="1" applyBorder="1" applyAlignment="1">
      <alignment horizontal="center" vertical="center" wrapText="1"/>
    </xf>
    <xf numFmtId="0" fontId="3" fillId="0" borderId="19" xfId="3" applyFont="1" applyBorder="1" applyAlignment="1">
      <alignment horizontal="center" vertical="center" wrapText="1"/>
    </xf>
    <xf numFmtId="0" fontId="3" fillId="0" borderId="13" xfId="3" applyFont="1" applyBorder="1" applyAlignment="1">
      <alignment horizontal="center" vertical="center" wrapText="1"/>
    </xf>
    <xf numFmtId="0" fontId="3" fillId="0" borderId="8" xfId="3" applyFont="1" applyBorder="1" applyAlignment="1">
      <alignment horizontal="center" vertical="center" wrapText="1"/>
    </xf>
    <xf numFmtId="0" fontId="3" fillId="0" borderId="10" xfId="3" applyFont="1" applyBorder="1" applyAlignment="1">
      <alignment horizontal="center" vertical="center" wrapText="1"/>
    </xf>
    <xf numFmtId="0" fontId="3" fillId="0" borderId="11" xfId="3" applyFont="1" applyBorder="1" applyAlignment="1">
      <alignment horizontal="center" vertical="center" wrapText="1"/>
    </xf>
    <xf numFmtId="0" fontId="3" fillId="0" borderId="5" xfId="3" applyFont="1" applyBorder="1" applyAlignment="1">
      <alignment horizontal="center" vertical="center" wrapText="1"/>
    </xf>
    <xf numFmtId="0" fontId="3" fillId="0" borderId="15" xfId="3" applyFont="1" applyBorder="1" applyAlignment="1">
      <alignment horizontal="center" vertical="center" wrapText="1"/>
    </xf>
    <xf numFmtId="0" fontId="3" fillId="0" borderId="12" xfId="3" applyFont="1" applyBorder="1" applyAlignment="1">
      <alignment horizontal="center" vertical="center" wrapText="1"/>
    </xf>
    <xf numFmtId="0" fontId="13" fillId="0" borderId="5" xfId="3" applyFont="1" applyBorder="1" applyAlignment="1">
      <alignment horizontal="center" vertical="center"/>
    </xf>
    <xf numFmtId="0" fontId="13" fillId="0" borderId="6" xfId="3" applyFont="1" applyBorder="1" applyAlignment="1">
      <alignment horizontal="center" vertical="center"/>
    </xf>
    <xf numFmtId="0" fontId="13" fillId="0" borderId="2" xfId="3" applyFont="1" applyBorder="1" applyAlignment="1">
      <alignment horizontal="center" vertical="center" wrapText="1"/>
    </xf>
    <xf numFmtId="0" fontId="13" fillId="0" borderId="3" xfId="3" applyFont="1" applyBorder="1" applyAlignment="1">
      <alignment horizontal="center" vertical="center" wrapText="1"/>
    </xf>
    <xf numFmtId="0" fontId="13" fillId="0" borderId="4" xfId="3" applyFont="1" applyBorder="1" applyAlignment="1">
      <alignment horizontal="center" vertical="center" wrapText="1"/>
    </xf>
    <xf numFmtId="0" fontId="13" fillId="0" borderId="2" xfId="3" applyFont="1" applyBorder="1" applyAlignment="1">
      <alignment horizontal="center" vertical="center"/>
    </xf>
    <xf numFmtId="0" fontId="13" fillId="0" borderId="4" xfId="3" applyFont="1" applyBorder="1" applyAlignment="1">
      <alignment horizontal="center" vertical="center"/>
    </xf>
    <xf numFmtId="0" fontId="13" fillId="0" borderId="13" xfId="3" applyFont="1" applyBorder="1" applyAlignment="1">
      <alignment horizontal="center" vertical="center"/>
    </xf>
    <xf numFmtId="0" fontId="13" fillId="0" borderId="15" xfId="3" applyFont="1" applyBorder="1" applyAlignment="1">
      <alignment horizontal="center" vertical="center"/>
    </xf>
    <xf numFmtId="0" fontId="13" fillId="0" borderId="20" xfId="3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/>
    </xf>
    <xf numFmtId="0" fontId="13" fillId="0" borderId="10" xfId="3" applyFont="1" applyBorder="1" applyAlignment="1">
      <alignment horizontal="center" vertical="center"/>
    </xf>
    <xf numFmtId="0" fontId="13" fillId="0" borderId="12" xfId="3" applyFont="1" applyBorder="1" applyAlignment="1">
      <alignment horizontal="center" vertical="center"/>
    </xf>
    <xf numFmtId="0" fontId="13" fillId="0" borderId="5" xfId="3" applyFont="1" applyBorder="1" applyAlignment="1">
      <alignment horizontal="center" vertical="center" wrapText="1"/>
    </xf>
    <xf numFmtId="0" fontId="13" fillId="0" borderId="7" xfId="3" applyFont="1" applyBorder="1" applyAlignment="1">
      <alignment horizontal="center" vertical="center" wrapText="1"/>
    </xf>
    <xf numFmtId="0" fontId="13" fillId="0" borderId="6" xfId="3" applyFont="1" applyBorder="1" applyAlignment="1">
      <alignment horizontal="center" vertical="center" wrapText="1"/>
    </xf>
    <xf numFmtId="0" fontId="13" fillId="0" borderId="7" xfId="3" applyFont="1" applyBorder="1" applyAlignment="1">
      <alignment horizontal="center" vertical="center"/>
    </xf>
    <xf numFmtId="0" fontId="13" fillId="0" borderId="3" xfId="3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</cellXfs>
  <cellStyles count="24">
    <cellStyle name="40% - Accent3 2" xfId="12" xr:uid="{00000000-0005-0000-0000-000000000000}"/>
    <cellStyle name="40% - Accent6 2" xfId="11" xr:uid="{00000000-0005-0000-0000-000001000000}"/>
    <cellStyle name="Comma [0]" xfId="23" builtinId="6"/>
    <cellStyle name="Comma [0] 2" xfId="4" xr:uid="{00000000-0005-0000-0000-000003000000}"/>
    <cellStyle name="Comma [0] 2 2" xfId="7" xr:uid="{00000000-0005-0000-0000-000004000000}"/>
    <cellStyle name="Comma [0] 2 2 2" xfId="15" xr:uid="{00000000-0005-0000-0000-000005000000}"/>
    <cellStyle name="Comma [0] 2 3" xfId="14" xr:uid="{00000000-0005-0000-0000-000006000000}"/>
    <cellStyle name="Comma [0] 2 4" xfId="19" xr:uid="{00000000-0005-0000-0000-000007000000}"/>
    <cellStyle name="Comma 10" xfId="10" xr:uid="{00000000-0005-0000-0000-000008000000}"/>
    <cellStyle name="Comma 2" xfId="5" xr:uid="{00000000-0005-0000-0000-000009000000}"/>
    <cellStyle name="Comma 2 2" xfId="6" xr:uid="{00000000-0005-0000-0000-00000A000000}"/>
    <cellStyle name="Comma 2 2 2" xfId="17" xr:uid="{00000000-0005-0000-0000-00000B000000}"/>
    <cellStyle name="Comma 2 3" xfId="16" xr:uid="{00000000-0005-0000-0000-00000C000000}"/>
    <cellStyle name="Comma 2 4" xfId="20" xr:uid="{00000000-0005-0000-0000-00000D000000}"/>
    <cellStyle name="Comma 5" xfId="8" xr:uid="{00000000-0005-0000-0000-00000E000000}"/>
    <cellStyle name="Hyperlink 2" xfId="2" xr:uid="{00000000-0005-0000-0000-00000F000000}"/>
    <cellStyle name="Normal" xfId="0" builtinId="0"/>
    <cellStyle name="Normal 2" xfId="1" xr:uid="{00000000-0005-0000-0000-000011000000}"/>
    <cellStyle name="Normal 3" xfId="3" xr:uid="{00000000-0005-0000-0000-000012000000}"/>
    <cellStyle name="Normal 4" xfId="13" xr:uid="{00000000-0005-0000-0000-000013000000}"/>
    <cellStyle name="Normal 5" xfId="18" xr:uid="{00000000-0005-0000-0000-000014000000}"/>
    <cellStyle name="Normal 6" xfId="21" xr:uid="{00000000-0005-0000-0000-000015000000}"/>
    <cellStyle name="Normal 7" xfId="22" xr:uid="{00000000-0005-0000-0000-000016000000}"/>
    <cellStyle name="Percent 2" xfId="9" xr:uid="{00000000-0005-0000-0000-00001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Resume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Resu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Resu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Resum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0</xdr:rowOff>
    </xdr:from>
    <xdr:to>
      <xdr:col>15</xdr:col>
      <xdr:colOff>132870</xdr:colOff>
      <xdr:row>21</xdr:row>
      <xdr:rowOff>40821</xdr:rowOff>
    </xdr:to>
    <xdr:sp macro="" textlink="">
      <xdr:nvSpPr>
        <xdr:cNvPr id="2" name="Rounded Rectangle 1">
          <a:hlinkClick xmlns:r="http://schemas.openxmlformats.org/officeDocument/2006/relationships" r:id="rId1" tooltip="Kembali ke RESUME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4274800" y="196850"/>
          <a:ext cx="1961670" cy="684167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Verdana" panose="020B0604030504040204" pitchFamily="34" charset="0"/>
              <a:ea typeface="Verdana" panose="020B0604030504040204" pitchFamily="34" charset="0"/>
            </a:rPr>
            <a:t>PICIK DISINI MUN HANDAK KEMBALI KE RESUME</a:t>
          </a:r>
        </a:p>
      </xdr:txBody>
    </xdr:sp>
    <xdr:clientData/>
  </xdr:twoCellAnchor>
  <xdr:twoCellAnchor>
    <xdr:from>
      <xdr:col>9</xdr:col>
      <xdr:colOff>108858</xdr:colOff>
      <xdr:row>29</xdr:row>
      <xdr:rowOff>217714</xdr:rowOff>
    </xdr:from>
    <xdr:to>
      <xdr:col>9</xdr:col>
      <xdr:colOff>1023258</xdr:colOff>
      <xdr:row>30</xdr:row>
      <xdr:rowOff>356508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12643758" y="10041164"/>
          <a:ext cx="292100" cy="500744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172358</xdr:colOff>
      <xdr:row>12</xdr:row>
      <xdr:rowOff>201839</xdr:rowOff>
    </xdr:from>
    <xdr:to>
      <xdr:col>10</xdr:col>
      <xdr:colOff>67583</xdr:colOff>
      <xdr:row>13</xdr:row>
      <xdr:rowOff>340633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2707258" y="4272189"/>
          <a:ext cx="295275" cy="500744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1</xdr:row>
      <xdr:rowOff>0</xdr:rowOff>
    </xdr:from>
    <xdr:to>
      <xdr:col>22</xdr:col>
      <xdr:colOff>132870</xdr:colOff>
      <xdr:row>5</xdr:row>
      <xdr:rowOff>176893</xdr:rowOff>
    </xdr:to>
    <xdr:sp macro="" textlink="">
      <xdr:nvSpPr>
        <xdr:cNvPr id="2" name="Rounded Rectangle 1">
          <a:hlinkClick xmlns:r="http://schemas.openxmlformats.org/officeDocument/2006/relationships" r:id="rId1" tooltip="Kembali ke RESUME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20995821" y="204107"/>
          <a:ext cx="1888192" cy="1020536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Verdana" panose="020B0604030504040204" pitchFamily="34" charset="0"/>
              <a:ea typeface="Verdana" panose="020B0604030504040204" pitchFamily="34" charset="0"/>
            </a:rPr>
            <a:t>PICIK DISINI MUN HANDAK KEMBALI KE RESUME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23</xdr:row>
      <xdr:rowOff>0</xdr:rowOff>
    </xdr:from>
    <xdr:to>
      <xdr:col>27</xdr:col>
      <xdr:colOff>78442</xdr:colOff>
      <xdr:row>24</xdr:row>
      <xdr:rowOff>31750</xdr:rowOff>
    </xdr:to>
    <xdr:sp macro="" textlink="">
      <xdr:nvSpPr>
        <xdr:cNvPr id="2" name="Rounded Rectangle 1">
          <a:hlinkClick xmlns:r="http://schemas.openxmlformats.org/officeDocument/2006/relationships" r:id="rId1" tooltip="Kembali ke RESUME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24209375" y="206375"/>
          <a:ext cx="1888192" cy="1031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Verdana" panose="020B0604030504040204" pitchFamily="34" charset="0"/>
              <a:ea typeface="Verdana" panose="020B0604030504040204" pitchFamily="34" charset="0"/>
            </a:rPr>
            <a:t>PICIK DISINI MUN HANDAK KEMBALI KE RESUME</a:t>
          </a:r>
        </a:p>
      </xdr:txBody>
    </xdr:sp>
    <xdr:clientData/>
  </xdr:twoCellAnchor>
  <xdr:twoCellAnchor>
    <xdr:from>
      <xdr:col>24</xdr:col>
      <xdr:colOff>0</xdr:colOff>
      <xdr:row>0</xdr:row>
      <xdr:rowOff>0</xdr:rowOff>
    </xdr:from>
    <xdr:to>
      <xdr:col>27</xdr:col>
      <xdr:colOff>78442</xdr:colOff>
      <xdr:row>5</xdr:row>
      <xdr:rowOff>31750</xdr:rowOff>
    </xdr:to>
    <xdr:sp macro="" textlink="">
      <xdr:nvSpPr>
        <xdr:cNvPr id="3" name="Rounded Rectangle 2">
          <a:hlinkClick xmlns:r="http://schemas.openxmlformats.org/officeDocument/2006/relationships" r:id="rId1" tooltip="Kembali ke RESUME"/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18399125" y="6111875"/>
          <a:ext cx="1888192" cy="1031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Verdana" panose="020B0604030504040204" pitchFamily="34" charset="0"/>
              <a:ea typeface="Verdana" panose="020B0604030504040204" pitchFamily="34" charset="0"/>
            </a:rPr>
            <a:t>PICIK DISINI MUN HANDAK KEMBALI KE RESUME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313764</xdr:colOff>
      <xdr:row>0</xdr:row>
      <xdr:rowOff>0</xdr:rowOff>
    </xdr:from>
    <xdr:to>
      <xdr:col>29</xdr:col>
      <xdr:colOff>50427</xdr:colOff>
      <xdr:row>3</xdr:row>
      <xdr:rowOff>0</xdr:rowOff>
    </xdr:to>
    <xdr:sp macro="" textlink="">
      <xdr:nvSpPr>
        <xdr:cNvPr id="2" name="Rounded Rectangle 1">
          <a:hlinkClick xmlns:r="http://schemas.openxmlformats.org/officeDocument/2006/relationships" r:id="rId1" tooltip="Kembali ke RESUME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1582529" y="33617"/>
          <a:ext cx="1888192" cy="96370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Verdana" panose="020B0604030504040204" pitchFamily="34" charset="0"/>
              <a:ea typeface="Verdana" panose="020B0604030504040204" pitchFamily="34" charset="0"/>
            </a:rPr>
            <a:t>PICIK DISINI MUN HANDAK KEMBALI KE RESUME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4/PKM%20Dayu/PROFIL-KESLING%20DAYU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"/>
      <sheetName val="79"/>
      <sheetName val="80"/>
      <sheetName val="81"/>
      <sheetName val="82"/>
      <sheetName val="83"/>
      <sheetName val="Sheet1"/>
      <sheetName val="Sheet2"/>
    </sheetNames>
    <sheetDataSet>
      <sheetData sheetId="0"/>
      <sheetData sheetId="1">
        <row r="18">
          <cell r="D18">
            <v>0</v>
          </cell>
        </row>
      </sheetData>
      <sheetData sheetId="2">
        <row r="20">
          <cell r="D20">
            <v>0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9A3EF-9622-43D2-A23D-EECC16EC4DF9}">
  <sheetPr>
    <tabColor rgb="FFC00000"/>
  </sheetPr>
  <dimension ref="A1:R269"/>
  <sheetViews>
    <sheetView tabSelected="1" view="pageBreakPreview" zoomScale="70" zoomScaleNormal="70" zoomScaleSheetLayoutView="70" workbookViewId="0">
      <selection activeCell="J5" sqref="J5"/>
    </sheetView>
  </sheetViews>
  <sheetFormatPr defaultRowHeight="15.5" x14ac:dyDescent="0.35"/>
  <cols>
    <col min="1" max="1" width="5" style="7" customWidth="1"/>
    <col min="2" max="2" width="5.453125" style="7" customWidth="1"/>
    <col min="3" max="3" width="27.81640625" style="7" customWidth="1"/>
    <col min="4" max="4" width="30.81640625" style="7" customWidth="1"/>
    <col min="5" max="5" width="19.26953125" style="7" customWidth="1"/>
    <col min="6" max="6" width="15.54296875" style="7" customWidth="1"/>
    <col min="7" max="7" width="30.7265625" style="7" customWidth="1"/>
    <col min="8" max="8" width="32.26953125" style="7" customWidth="1"/>
    <col min="9" max="9" width="12.54296875" style="288" customWidth="1"/>
    <col min="10" max="11" width="5.7265625" style="7" customWidth="1"/>
    <col min="12" max="12" width="13.453125" style="7" customWidth="1"/>
    <col min="13" max="257" width="8.7265625" style="7"/>
    <col min="258" max="258" width="5.453125" style="7" customWidth="1"/>
    <col min="259" max="260" width="25.54296875" style="7" customWidth="1"/>
    <col min="261" max="261" width="13.7265625" style="7" customWidth="1"/>
    <col min="262" max="262" width="15.54296875" style="7" customWidth="1"/>
    <col min="263" max="263" width="30.7265625" style="7" customWidth="1"/>
    <col min="264" max="264" width="32.26953125" style="7" customWidth="1"/>
    <col min="265" max="513" width="8.7265625" style="7"/>
    <col min="514" max="514" width="5.453125" style="7" customWidth="1"/>
    <col min="515" max="516" width="25.54296875" style="7" customWidth="1"/>
    <col min="517" max="517" width="13.7265625" style="7" customWidth="1"/>
    <col min="518" max="518" width="15.54296875" style="7" customWidth="1"/>
    <col min="519" max="519" width="30.7265625" style="7" customWidth="1"/>
    <col min="520" max="520" width="32.26953125" style="7" customWidth="1"/>
    <col min="521" max="769" width="8.7265625" style="7"/>
    <col min="770" max="770" width="5.453125" style="7" customWidth="1"/>
    <col min="771" max="772" width="25.54296875" style="7" customWidth="1"/>
    <col min="773" max="773" width="13.7265625" style="7" customWidth="1"/>
    <col min="774" max="774" width="15.54296875" style="7" customWidth="1"/>
    <col min="775" max="775" width="30.7265625" style="7" customWidth="1"/>
    <col min="776" max="776" width="32.26953125" style="7" customWidth="1"/>
    <col min="777" max="1025" width="8.7265625" style="7"/>
    <col min="1026" max="1026" width="5.453125" style="7" customWidth="1"/>
    <col min="1027" max="1028" width="25.54296875" style="7" customWidth="1"/>
    <col min="1029" max="1029" width="13.7265625" style="7" customWidth="1"/>
    <col min="1030" max="1030" width="15.54296875" style="7" customWidth="1"/>
    <col min="1031" max="1031" width="30.7265625" style="7" customWidth="1"/>
    <col min="1032" max="1032" width="32.26953125" style="7" customWidth="1"/>
    <col min="1033" max="1281" width="8.7265625" style="7"/>
    <col min="1282" max="1282" width="5.453125" style="7" customWidth="1"/>
    <col min="1283" max="1284" width="25.54296875" style="7" customWidth="1"/>
    <col min="1285" max="1285" width="13.7265625" style="7" customWidth="1"/>
    <col min="1286" max="1286" width="15.54296875" style="7" customWidth="1"/>
    <col min="1287" max="1287" width="30.7265625" style="7" customWidth="1"/>
    <col min="1288" max="1288" width="32.26953125" style="7" customWidth="1"/>
    <col min="1289" max="1537" width="8.7265625" style="7"/>
    <col min="1538" max="1538" width="5.453125" style="7" customWidth="1"/>
    <col min="1539" max="1540" width="25.54296875" style="7" customWidth="1"/>
    <col min="1541" max="1541" width="13.7265625" style="7" customWidth="1"/>
    <col min="1542" max="1542" width="15.54296875" style="7" customWidth="1"/>
    <col min="1543" max="1543" width="30.7265625" style="7" customWidth="1"/>
    <col min="1544" max="1544" width="32.26953125" style="7" customWidth="1"/>
    <col min="1545" max="1793" width="8.7265625" style="7"/>
    <col min="1794" max="1794" width="5.453125" style="7" customWidth="1"/>
    <col min="1795" max="1796" width="25.54296875" style="7" customWidth="1"/>
    <col min="1797" max="1797" width="13.7265625" style="7" customWidth="1"/>
    <col min="1798" max="1798" width="15.54296875" style="7" customWidth="1"/>
    <col min="1799" max="1799" width="30.7265625" style="7" customWidth="1"/>
    <col min="1800" max="1800" width="32.26953125" style="7" customWidth="1"/>
    <col min="1801" max="2049" width="8.7265625" style="7"/>
    <col min="2050" max="2050" width="5.453125" style="7" customWidth="1"/>
    <col min="2051" max="2052" width="25.54296875" style="7" customWidth="1"/>
    <col min="2053" max="2053" width="13.7265625" style="7" customWidth="1"/>
    <col min="2054" max="2054" width="15.54296875" style="7" customWidth="1"/>
    <col min="2055" max="2055" width="30.7265625" style="7" customWidth="1"/>
    <col min="2056" max="2056" width="32.26953125" style="7" customWidth="1"/>
    <col min="2057" max="2305" width="8.7265625" style="7"/>
    <col min="2306" max="2306" width="5.453125" style="7" customWidth="1"/>
    <col min="2307" max="2308" width="25.54296875" style="7" customWidth="1"/>
    <col min="2309" max="2309" width="13.7265625" style="7" customWidth="1"/>
    <col min="2310" max="2310" width="15.54296875" style="7" customWidth="1"/>
    <col min="2311" max="2311" width="30.7265625" style="7" customWidth="1"/>
    <col min="2312" max="2312" width="32.26953125" style="7" customWidth="1"/>
    <col min="2313" max="2561" width="8.7265625" style="7"/>
    <col min="2562" max="2562" width="5.453125" style="7" customWidth="1"/>
    <col min="2563" max="2564" width="25.54296875" style="7" customWidth="1"/>
    <col min="2565" max="2565" width="13.7265625" style="7" customWidth="1"/>
    <col min="2566" max="2566" width="15.54296875" style="7" customWidth="1"/>
    <col min="2567" max="2567" width="30.7265625" style="7" customWidth="1"/>
    <col min="2568" max="2568" width="32.26953125" style="7" customWidth="1"/>
    <col min="2569" max="2817" width="8.7265625" style="7"/>
    <col min="2818" max="2818" width="5.453125" style="7" customWidth="1"/>
    <col min="2819" max="2820" width="25.54296875" style="7" customWidth="1"/>
    <col min="2821" max="2821" width="13.7265625" style="7" customWidth="1"/>
    <col min="2822" max="2822" width="15.54296875" style="7" customWidth="1"/>
    <col min="2823" max="2823" width="30.7265625" style="7" customWidth="1"/>
    <col min="2824" max="2824" width="32.26953125" style="7" customWidth="1"/>
    <col min="2825" max="3073" width="8.7265625" style="7"/>
    <col min="3074" max="3074" width="5.453125" style="7" customWidth="1"/>
    <col min="3075" max="3076" width="25.54296875" style="7" customWidth="1"/>
    <col min="3077" max="3077" width="13.7265625" style="7" customWidth="1"/>
    <col min="3078" max="3078" width="15.54296875" style="7" customWidth="1"/>
    <col min="3079" max="3079" width="30.7265625" style="7" customWidth="1"/>
    <col min="3080" max="3080" width="32.26953125" style="7" customWidth="1"/>
    <col min="3081" max="3329" width="8.7265625" style="7"/>
    <col min="3330" max="3330" width="5.453125" style="7" customWidth="1"/>
    <col min="3331" max="3332" width="25.54296875" style="7" customWidth="1"/>
    <col min="3333" max="3333" width="13.7265625" style="7" customWidth="1"/>
    <col min="3334" max="3334" width="15.54296875" style="7" customWidth="1"/>
    <col min="3335" max="3335" width="30.7265625" style="7" customWidth="1"/>
    <col min="3336" max="3336" width="32.26953125" style="7" customWidth="1"/>
    <col min="3337" max="3585" width="8.7265625" style="7"/>
    <col min="3586" max="3586" width="5.453125" style="7" customWidth="1"/>
    <col min="3587" max="3588" width="25.54296875" style="7" customWidth="1"/>
    <col min="3589" max="3589" width="13.7265625" style="7" customWidth="1"/>
    <col min="3590" max="3590" width="15.54296875" style="7" customWidth="1"/>
    <col min="3591" max="3591" width="30.7265625" style="7" customWidth="1"/>
    <col min="3592" max="3592" width="32.26953125" style="7" customWidth="1"/>
    <col min="3593" max="3841" width="8.7265625" style="7"/>
    <col min="3842" max="3842" width="5.453125" style="7" customWidth="1"/>
    <col min="3843" max="3844" width="25.54296875" style="7" customWidth="1"/>
    <col min="3845" max="3845" width="13.7265625" style="7" customWidth="1"/>
    <col min="3846" max="3846" width="15.54296875" style="7" customWidth="1"/>
    <col min="3847" max="3847" width="30.7265625" style="7" customWidth="1"/>
    <col min="3848" max="3848" width="32.26953125" style="7" customWidth="1"/>
    <col min="3849" max="4097" width="8.7265625" style="7"/>
    <col min="4098" max="4098" width="5.453125" style="7" customWidth="1"/>
    <col min="4099" max="4100" width="25.54296875" style="7" customWidth="1"/>
    <col min="4101" max="4101" width="13.7265625" style="7" customWidth="1"/>
    <col min="4102" max="4102" width="15.54296875" style="7" customWidth="1"/>
    <col min="4103" max="4103" width="30.7265625" style="7" customWidth="1"/>
    <col min="4104" max="4104" width="32.26953125" style="7" customWidth="1"/>
    <col min="4105" max="4353" width="8.7265625" style="7"/>
    <col min="4354" max="4354" width="5.453125" style="7" customWidth="1"/>
    <col min="4355" max="4356" width="25.54296875" style="7" customWidth="1"/>
    <col min="4357" max="4357" width="13.7265625" style="7" customWidth="1"/>
    <col min="4358" max="4358" width="15.54296875" style="7" customWidth="1"/>
    <col min="4359" max="4359" width="30.7265625" style="7" customWidth="1"/>
    <col min="4360" max="4360" width="32.26953125" style="7" customWidth="1"/>
    <col min="4361" max="4609" width="8.7265625" style="7"/>
    <col min="4610" max="4610" width="5.453125" style="7" customWidth="1"/>
    <col min="4611" max="4612" width="25.54296875" style="7" customWidth="1"/>
    <col min="4613" max="4613" width="13.7265625" style="7" customWidth="1"/>
    <col min="4614" max="4614" width="15.54296875" style="7" customWidth="1"/>
    <col min="4615" max="4615" width="30.7265625" style="7" customWidth="1"/>
    <col min="4616" max="4616" width="32.26953125" style="7" customWidth="1"/>
    <col min="4617" max="4865" width="8.7265625" style="7"/>
    <col min="4866" max="4866" width="5.453125" style="7" customWidth="1"/>
    <col min="4867" max="4868" width="25.54296875" style="7" customWidth="1"/>
    <col min="4869" max="4869" width="13.7265625" style="7" customWidth="1"/>
    <col min="4870" max="4870" width="15.54296875" style="7" customWidth="1"/>
    <col min="4871" max="4871" width="30.7265625" style="7" customWidth="1"/>
    <col min="4872" max="4872" width="32.26953125" style="7" customWidth="1"/>
    <col min="4873" max="5121" width="8.7265625" style="7"/>
    <col min="5122" max="5122" width="5.453125" style="7" customWidth="1"/>
    <col min="5123" max="5124" width="25.54296875" style="7" customWidth="1"/>
    <col min="5125" max="5125" width="13.7265625" style="7" customWidth="1"/>
    <col min="5126" max="5126" width="15.54296875" style="7" customWidth="1"/>
    <col min="5127" max="5127" width="30.7265625" style="7" customWidth="1"/>
    <col min="5128" max="5128" width="32.26953125" style="7" customWidth="1"/>
    <col min="5129" max="5377" width="8.7265625" style="7"/>
    <col min="5378" max="5378" width="5.453125" style="7" customWidth="1"/>
    <col min="5379" max="5380" width="25.54296875" style="7" customWidth="1"/>
    <col min="5381" max="5381" width="13.7265625" style="7" customWidth="1"/>
    <col min="5382" max="5382" width="15.54296875" style="7" customWidth="1"/>
    <col min="5383" max="5383" width="30.7265625" style="7" customWidth="1"/>
    <col min="5384" max="5384" width="32.26953125" style="7" customWidth="1"/>
    <col min="5385" max="5633" width="8.7265625" style="7"/>
    <col min="5634" max="5634" width="5.453125" style="7" customWidth="1"/>
    <col min="5635" max="5636" width="25.54296875" style="7" customWidth="1"/>
    <col min="5637" max="5637" width="13.7265625" style="7" customWidth="1"/>
    <col min="5638" max="5638" width="15.54296875" style="7" customWidth="1"/>
    <col min="5639" max="5639" width="30.7265625" style="7" customWidth="1"/>
    <col min="5640" max="5640" width="32.26953125" style="7" customWidth="1"/>
    <col min="5641" max="5889" width="8.7265625" style="7"/>
    <col min="5890" max="5890" width="5.453125" style="7" customWidth="1"/>
    <col min="5891" max="5892" width="25.54296875" style="7" customWidth="1"/>
    <col min="5893" max="5893" width="13.7265625" style="7" customWidth="1"/>
    <col min="5894" max="5894" width="15.54296875" style="7" customWidth="1"/>
    <col min="5895" max="5895" width="30.7265625" style="7" customWidth="1"/>
    <col min="5896" max="5896" width="32.26953125" style="7" customWidth="1"/>
    <col min="5897" max="6145" width="8.7265625" style="7"/>
    <col min="6146" max="6146" width="5.453125" style="7" customWidth="1"/>
    <col min="6147" max="6148" width="25.54296875" style="7" customWidth="1"/>
    <col min="6149" max="6149" width="13.7265625" style="7" customWidth="1"/>
    <col min="6150" max="6150" width="15.54296875" style="7" customWidth="1"/>
    <col min="6151" max="6151" width="30.7265625" style="7" customWidth="1"/>
    <col min="6152" max="6152" width="32.26953125" style="7" customWidth="1"/>
    <col min="6153" max="6401" width="8.7265625" style="7"/>
    <col min="6402" max="6402" width="5.453125" style="7" customWidth="1"/>
    <col min="6403" max="6404" width="25.54296875" style="7" customWidth="1"/>
    <col min="6405" max="6405" width="13.7265625" style="7" customWidth="1"/>
    <col min="6406" max="6406" width="15.54296875" style="7" customWidth="1"/>
    <col min="6407" max="6407" width="30.7265625" style="7" customWidth="1"/>
    <col min="6408" max="6408" width="32.26953125" style="7" customWidth="1"/>
    <col min="6409" max="6657" width="8.7265625" style="7"/>
    <col min="6658" max="6658" width="5.453125" style="7" customWidth="1"/>
    <col min="6659" max="6660" width="25.54296875" style="7" customWidth="1"/>
    <col min="6661" max="6661" width="13.7265625" style="7" customWidth="1"/>
    <col min="6662" max="6662" width="15.54296875" style="7" customWidth="1"/>
    <col min="6663" max="6663" width="30.7265625" style="7" customWidth="1"/>
    <col min="6664" max="6664" width="32.26953125" style="7" customWidth="1"/>
    <col min="6665" max="6913" width="8.7265625" style="7"/>
    <col min="6914" max="6914" width="5.453125" style="7" customWidth="1"/>
    <col min="6915" max="6916" width="25.54296875" style="7" customWidth="1"/>
    <col min="6917" max="6917" width="13.7265625" style="7" customWidth="1"/>
    <col min="6918" max="6918" width="15.54296875" style="7" customWidth="1"/>
    <col min="6919" max="6919" width="30.7265625" style="7" customWidth="1"/>
    <col min="6920" max="6920" width="32.26953125" style="7" customWidth="1"/>
    <col min="6921" max="7169" width="8.7265625" style="7"/>
    <col min="7170" max="7170" width="5.453125" style="7" customWidth="1"/>
    <col min="7171" max="7172" width="25.54296875" style="7" customWidth="1"/>
    <col min="7173" max="7173" width="13.7265625" style="7" customWidth="1"/>
    <col min="7174" max="7174" width="15.54296875" style="7" customWidth="1"/>
    <col min="7175" max="7175" width="30.7265625" style="7" customWidth="1"/>
    <col min="7176" max="7176" width="32.26953125" style="7" customWidth="1"/>
    <col min="7177" max="7425" width="8.7265625" style="7"/>
    <col min="7426" max="7426" width="5.453125" style="7" customWidth="1"/>
    <col min="7427" max="7428" width="25.54296875" style="7" customWidth="1"/>
    <col min="7429" max="7429" width="13.7265625" style="7" customWidth="1"/>
    <col min="7430" max="7430" width="15.54296875" style="7" customWidth="1"/>
    <col min="7431" max="7431" width="30.7265625" style="7" customWidth="1"/>
    <col min="7432" max="7432" width="32.26953125" style="7" customWidth="1"/>
    <col min="7433" max="7681" width="8.7265625" style="7"/>
    <col min="7682" max="7682" width="5.453125" style="7" customWidth="1"/>
    <col min="7683" max="7684" width="25.54296875" style="7" customWidth="1"/>
    <col min="7685" max="7685" width="13.7265625" style="7" customWidth="1"/>
    <col min="7686" max="7686" width="15.54296875" style="7" customWidth="1"/>
    <col min="7687" max="7687" width="30.7265625" style="7" customWidth="1"/>
    <col min="7688" max="7688" width="32.26953125" style="7" customWidth="1"/>
    <col min="7689" max="7937" width="8.7265625" style="7"/>
    <col min="7938" max="7938" width="5.453125" style="7" customWidth="1"/>
    <col min="7939" max="7940" width="25.54296875" style="7" customWidth="1"/>
    <col min="7941" max="7941" width="13.7265625" style="7" customWidth="1"/>
    <col min="7942" max="7942" width="15.54296875" style="7" customWidth="1"/>
    <col min="7943" max="7943" width="30.7265625" style="7" customWidth="1"/>
    <col min="7944" max="7944" width="32.26953125" style="7" customWidth="1"/>
    <col min="7945" max="8193" width="8.7265625" style="7"/>
    <col min="8194" max="8194" width="5.453125" style="7" customWidth="1"/>
    <col min="8195" max="8196" width="25.54296875" style="7" customWidth="1"/>
    <col min="8197" max="8197" width="13.7265625" style="7" customWidth="1"/>
    <col min="8198" max="8198" width="15.54296875" style="7" customWidth="1"/>
    <col min="8199" max="8199" width="30.7265625" style="7" customWidth="1"/>
    <col min="8200" max="8200" width="32.26953125" style="7" customWidth="1"/>
    <col min="8201" max="8449" width="8.7265625" style="7"/>
    <col min="8450" max="8450" width="5.453125" style="7" customWidth="1"/>
    <col min="8451" max="8452" width="25.54296875" style="7" customWidth="1"/>
    <col min="8453" max="8453" width="13.7265625" style="7" customWidth="1"/>
    <col min="8454" max="8454" width="15.54296875" style="7" customWidth="1"/>
    <col min="8455" max="8455" width="30.7265625" style="7" customWidth="1"/>
    <col min="8456" max="8456" width="32.26953125" style="7" customWidth="1"/>
    <col min="8457" max="8705" width="8.7265625" style="7"/>
    <col min="8706" max="8706" width="5.453125" style="7" customWidth="1"/>
    <col min="8707" max="8708" width="25.54296875" style="7" customWidth="1"/>
    <col min="8709" max="8709" width="13.7265625" style="7" customWidth="1"/>
    <col min="8710" max="8710" width="15.54296875" style="7" customWidth="1"/>
    <col min="8711" max="8711" width="30.7265625" style="7" customWidth="1"/>
    <col min="8712" max="8712" width="32.26953125" style="7" customWidth="1"/>
    <col min="8713" max="8961" width="8.7265625" style="7"/>
    <col min="8962" max="8962" width="5.453125" style="7" customWidth="1"/>
    <col min="8963" max="8964" width="25.54296875" style="7" customWidth="1"/>
    <col min="8965" max="8965" width="13.7265625" style="7" customWidth="1"/>
    <col min="8966" max="8966" width="15.54296875" style="7" customWidth="1"/>
    <col min="8967" max="8967" width="30.7265625" style="7" customWidth="1"/>
    <col min="8968" max="8968" width="32.26953125" style="7" customWidth="1"/>
    <col min="8969" max="9217" width="8.7265625" style="7"/>
    <col min="9218" max="9218" width="5.453125" style="7" customWidth="1"/>
    <col min="9219" max="9220" width="25.54296875" style="7" customWidth="1"/>
    <col min="9221" max="9221" width="13.7265625" style="7" customWidth="1"/>
    <col min="9222" max="9222" width="15.54296875" style="7" customWidth="1"/>
    <col min="9223" max="9223" width="30.7265625" style="7" customWidth="1"/>
    <col min="9224" max="9224" width="32.26953125" style="7" customWidth="1"/>
    <col min="9225" max="9473" width="8.7265625" style="7"/>
    <col min="9474" max="9474" width="5.453125" style="7" customWidth="1"/>
    <col min="9475" max="9476" width="25.54296875" style="7" customWidth="1"/>
    <col min="9477" max="9477" width="13.7265625" style="7" customWidth="1"/>
    <col min="9478" max="9478" width="15.54296875" style="7" customWidth="1"/>
    <col min="9479" max="9479" width="30.7265625" style="7" customWidth="1"/>
    <col min="9480" max="9480" width="32.26953125" style="7" customWidth="1"/>
    <col min="9481" max="9729" width="8.7265625" style="7"/>
    <col min="9730" max="9730" width="5.453125" style="7" customWidth="1"/>
    <col min="9731" max="9732" width="25.54296875" style="7" customWidth="1"/>
    <col min="9733" max="9733" width="13.7265625" style="7" customWidth="1"/>
    <col min="9734" max="9734" width="15.54296875" style="7" customWidth="1"/>
    <col min="9735" max="9735" width="30.7265625" style="7" customWidth="1"/>
    <col min="9736" max="9736" width="32.26953125" style="7" customWidth="1"/>
    <col min="9737" max="9985" width="8.7265625" style="7"/>
    <col min="9986" max="9986" width="5.453125" style="7" customWidth="1"/>
    <col min="9987" max="9988" width="25.54296875" style="7" customWidth="1"/>
    <col min="9989" max="9989" width="13.7265625" style="7" customWidth="1"/>
    <col min="9990" max="9990" width="15.54296875" style="7" customWidth="1"/>
    <col min="9991" max="9991" width="30.7265625" style="7" customWidth="1"/>
    <col min="9992" max="9992" width="32.26953125" style="7" customWidth="1"/>
    <col min="9993" max="10241" width="8.7265625" style="7"/>
    <col min="10242" max="10242" width="5.453125" style="7" customWidth="1"/>
    <col min="10243" max="10244" width="25.54296875" style="7" customWidth="1"/>
    <col min="10245" max="10245" width="13.7265625" style="7" customWidth="1"/>
    <col min="10246" max="10246" width="15.54296875" style="7" customWidth="1"/>
    <col min="10247" max="10247" width="30.7265625" style="7" customWidth="1"/>
    <col min="10248" max="10248" width="32.26953125" style="7" customWidth="1"/>
    <col min="10249" max="10497" width="8.7265625" style="7"/>
    <col min="10498" max="10498" width="5.453125" style="7" customWidth="1"/>
    <col min="10499" max="10500" width="25.54296875" style="7" customWidth="1"/>
    <col min="10501" max="10501" width="13.7265625" style="7" customWidth="1"/>
    <col min="10502" max="10502" width="15.54296875" style="7" customWidth="1"/>
    <col min="10503" max="10503" width="30.7265625" style="7" customWidth="1"/>
    <col min="10504" max="10504" width="32.26953125" style="7" customWidth="1"/>
    <col min="10505" max="10753" width="8.7265625" style="7"/>
    <col min="10754" max="10754" width="5.453125" style="7" customWidth="1"/>
    <col min="10755" max="10756" width="25.54296875" style="7" customWidth="1"/>
    <col min="10757" max="10757" width="13.7265625" style="7" customWidth="1"/>
    <col min="10758" max="10758" width="15.54296875" style="7" customWidth="1"/>
    <col min="10759" max="10759" width="30.7265625" style="7" customWidth="1"/>
    <col min="10760" max="10760" width="32.26953125" style="7" customWidth="1"/>
    <col min="10761" max="11009" width="8.7265625" style="7"/>
    <col min="11010" max="11010" width="5.453125" style="7" customWidth="1"/>
    <col min="11011" max="11012" width="25.54296875" style="7" customWidth="1"/>
    <col min="11013" max="11013" width="13.7265625" style="7" customWidth="1"/>
    <col min="11014" max="11014" width="15.54296875" style="7" customWidth="1"/>
    <col min="11015" max="11015" width="30.7265625" style="7" customWidth="1"/>
    <col min="11016" max="11016" width="32.26953125" style="7" customWidth="1"/>
    <col min="11017" max="11265" width="8.7265625" style="7"/>
    <col min="11266" max="11266" width="5.453125" style="7" customWidth="1"/>
    <col min="11267" max="11268" width="25.54296875" style="7" customWidth="1"/>
    <col min="11269" max="11269" width="13.7265625" style="7" customWidth="1"/>
    <col min="11270" max="11270" width="15.54296875" style="7" customWidth="1"/>
    <col min="11271" max="11271" width="30.7265625" style="7" customWidth="1"/>
    <col min="11272" max="11272" width="32.26953125" style="7" customWidth="1"/>
    <col min="11273" max="11521" width="8.7265625" style="7"/>
    <col min="11522" max="11522" width="5.453125" style="7" customWidth="1"/>
    <col min="11523" max="11524" width="25.54296875" style="7" customWidth="1"/>
    <col min="11525" max="11525" width="13.7265625" style="7" customWidth="1"/>
    <col min="11526" max="11526" width="15.54296875" style="7" customWidth="1"/>
    <col min="11527" max="11527" width="30.7265625" style="7" customWidth="1"/>
    <col min="11528" max="11528" width="32.26953125" style="7" customWidth="1"/>
    <col min="11529" max="11777" width="8.7265625" style="7"/>
    <col min="11778" max="11778" width="5.453125" style="7" customWidth="1"/>
    <col min="11779" max="11780" width="25.54296875" style="7" customWidth="1"/>
    <col min="11781" max="11781" width="13.7265625" style="7" customWidth="1"/>
    <col min="11782" max="11782" width="15.54296875" style="7" customWidth="1"/>
    <col min="11783" max="11783" width="30.7265625" style="7" customWidth="1"/>
    <col min="11784" max="11784" width="32.26953125" style="7" customWidth="1"/>
    <col min="11785" max="12033" width="8.7265625" style="7"/>
    <col min="12034" max="12034" width="5.453125" style="7" customWidth="1"/>
    <col min="12035" max="12036" width="25.54296875" style="7" customWidth="1"/>
    <col min="12037" max="12037" width="13.7265625" style="7" customWidth="1"/>
    <col min="12038" max="12038" width="15.54296875" style="7" customWidth="1"/>
    <col min="12039" max="12039" width="30.7265625" style="7" customWidth="1"/>
    <col min="12040" max="12040" width="32.26953125" style="7" customWidth="1"/>
    <col min="12041" max="12289" width="8.7265625" style="7"/>
    <col min="12290" max="12290" width="5.453125" style="7" customWidth="1"/>
    <col min="12291" max="12292" width="25.54296875" style="7" customWidth="1"/>
    <col min="12293" max="12293" width="13.7265625" style="7" customWidth="1"/>
    <col min="12294" max="12294" width="15.54296875" style="7" customWidth="1"/>
    <col min="12295" max="12295" width="30.7265625" style="7" customWidth="1"/>
    <col min="12296" max="12296" width="32.26953125" style="7" customWidth="1"/>
    <col min="12297" max="12545" width="8.7265625" style="7"/>
    <col min="12546" max="12546" width="5.453125" style="7" customWidth="1"/>
    <col min="12547" max="12548" width="25.54296875" style="7" customWidth="1"/>
    <col min="12549" max="12549" width="13.7265625" style="7" customWidth="1"/>
    <col min="12550" max="12550" width="15.54296875" style="7" customWidth="1"/>
    <col min="12551" max="12551" width="30.7265625" style="7" customWidth="1"/>
    <col min="12552" max="12552" width="32.26953125" style="7" customWidth="1"/>
    <col min="12553" max="12801" width="8.7265625" style="7"/>
    <col min="12802" max="12802" width="5.453125" style="7" customWidth="1"/>
    <col min="12803" max="12804" width="25.54296875" style="7" customWidth="1"/>
    <col min="12805" max="12805" width="13.7265625" style="7" customWidth="1"/>
    <col min="12806" max="12806" width="15.54296875" style="7" customWidth="1"/>
    <col min="12807" max="12807" width="30.7265625" style="7" customWidth="1"/>
    <col min="12808" max="12808" width="32.26953125" style="7" customWidth="1"/>
    <col min="12809" max="13057" width="8.7265625" style="7"/>
    <col min="13058" max="13058" width="5.453125" style="7" customWidth="1"/>
    <col min="13059" max="13060" width="25.54296875" style="7" customWidth="1"/>
    <col min="13061" max="13061" width="13.7265625" style="7" customWidth="1"/>
    <col min="13062" max="13062" width="15.54296875" style="7" customWidth="1"/>
    <col min="13063" max="13063" width="30.7265625" style="7" customWidth="1"/>
    <col min="13064" max="13064" width="32.26953125" style="7" customWidth="1"/>
    <col min="13065" max="13313" width="8.7265625" style="7"/>
    <col min="13314" max="13314" width="5.453125" style="7" customWidth="1"/>
    <col min="13315" max="13316" width="25.54296875" style="7" customWidth="1"/>
    <col min="13317" max="13317" width="13.7265625" style="7" customWidth="1"/>
    <col min="13318" max="13318" width="15.54296875" style="7" customWidth="1"/>
    <col min="13319" max="13319" width="30.7265625" style="7" customWidth="1"/>
    <col min="13320" max="13320" width="32.26953125" style="7" customWidth="1"/>
    <col min="13321" max="13569" width="8.7265625" style="7"/>
    <col min="13570" max="13570" width="5.453125" style="7" customWidth="1"/>
    <col min="13571" max="13572" width="25.54296875" style="7" customWidth="1"/>
    <col min="13573" max="13573" width="13.7265625" style="7" customWidth="1"/>
    <col min="13574" max="13574" width="15.54296875" style="7" customWidth="1"/>
    <col min="13575" max="13575" width="30.7265625" style="7" customWidth="1"/>
    <col min="13576" max="13576" width="32.26953125" style="7" customWidth="1"/>
    <col min="13577" max="13825" width="8.7265625" style="7"/>
    <col min="13826" max="13826" width="5.453125" style="7" customWidth="1"/>
    <col min="13827" max="13828" width="25.54296875" style="7" customWidth="1"/>
    <col min="13829" max="13829" width="13.7265625" style="7" customWidth="1"/>
    <col min="13830" max="13830" width="15.54296875" style="7" customWidth="1"/>
    <col min="13831" max="13831" width="30.7265625" style="7" customWidth="1"/>
    <col min="13832" max="13832" width="32.26953125" style="7" customWidth="1"/>
    <col min="13833" max="14081" width="8.7265625" style="7"/>
    <col min="14082" max="14082" width="5.453125" style="7" customWidth="1"/>
    <col min="14083" max="14084" width="25.54296875" style="7" customWidth="1"/>
    <col min="14085" max="14085" width="13.7265625" style="7" customWidth="1"/>
    <col min="14086" max="14086" width="15.54296875" style="7" customWidth="1"/>
    <col min="14087" max="14087" width="30.7265625" style="7" customWidth="1"/>
    <col min="14088" max="14088" width="32.26953125" style="7" customWidth="1"/>
    <col min="14089" max="14337" width="8.7265625" style="7"/>
    <col min="14338" max="14338" width="5.453125" style="7" customWidth="1"/>
    <col min="14339" max="14340" width="25.54296875" style="7" customWidth="1"/>
    <col min="14341" max="14341" width="13.7265625" style="7" customWidth="1"/>
    <col min="14342" max="14342" width="15.54296875" style="7" customWidth="1"/>
    <col min="14343" max="14343" width="30.7265625" style="7" customWidth="1"/>
    <col min="14344" max="14344" width="32.26953125" style="7" customWidth="1"/>
    <col min="14345" max="14593" width="8.7265625" style="7"/>
    <col min="14594" max="14594" width="5.453125" style="7" customWidth="1"/>
    <col min="14595" max="14596" width="25.54296875" style="7" customWidth="1"/>
    <col min="14597" max="14597" width="13.7265625" style="7" customWidth="1"/>
    <col min="14598" max="14598" width="15.54296875" style="7" customWidth="1"/>
    <col min="14599" max="14599" width="30.7265625" style="7" customWidth="1"/>
    <col min="14600" max="14600" width="32.26953125" style="7" customWidth="1"/>
    <col min="14601" max="14849" width="8.7265625" style="7"/>
    <col min="14850" max="14850" width="5.453125" style="7" customWidth="1"/>
    <col min="14851" max="14852" width="25.54296875" style="7" customWidth="1"/>
    <col min="14853" max="14853" width="13.7265625" style="7" customWidth="1"/>
    <col min="14854" max="14854" width="15.54296875" style="7" customWidth="1"/>
    <col min="14855" max="14855" width="30.7265625" style="7" customWidth="1"/>
    <col min="14856" max="14856" width="32.26953125" style="7" customWidth="1"/>
    <col min="14857" max="15105" width="8.7265625" style="7"/>
    <col min="15106" max="15106" width="5.453125" style="7" customWidth="1"/>
    <col min="15107" max="15108" width="25.54296875" style="7" customWidth="1"/>
    <col min="15109" max="15109" width="13.7265625" style="7" customWidth="1"/>
    <col min="15110" max="15110" width="15.54296875" style="7" customWidth="1"/>
    <col min="15111" max="15111" width="30.7265625" style="7" customWidth="1"/>
    <col min="15112" max="15112" width="32.26953125" style="7" customWidth="1"/>
    <col min="15113" max="15361" width="8.7265625" style="7"/>
    <col min="15362" max="15362" width="5.453125" style="7" customWidth="1"/>
    <col min="15363" max="15364" width="25.54296875" style="7" customWidth="1"/>
    <col min="15365" max="15365" width="13.7265625" style="7" customWidth="1"/>
    <col min="15366" max="15366" width="15.54296875" style="7" customWidth="1"/>
    <col min="15367" max="15367" width="30.7265625" style="7" customWidth="1"/>
    <col min="15368" max="15368" width="32.26953125" style="7" customWidth="1"/>
    <col min="15369" max="15617" width="8.7265625" style="7"/>
    <col min="15618" max="15618" width="5.453125" style="7" customWidth="1"/>
    <col min="15619" max="15620" width="25.54296875" style="7" customWidth="1"/>
    <col min="15621" max="15621" width="13.7265625" style="7" customWidth="1"/>
    <col min="15622" max="15622" width="15.54296875" style="7" customWidth="1"/>
    <col min="15623" max="15623" width="30.7265625" style="7" customWidth="1"/>
    <col min="15624" max="15624" width="32.26953125" style="7" customWidth="1"/>
    <col min="15625" max="15873" width="8.7265625" style="7"/>
    <col min="15874" max="15874" width="5.453125" style="7" customWidth="1"/>
    <col min="15875" max="15876" width="25.54296875" style="7" customWidth="1"/>
    <col min="15877" max="15877" width="13.7265625" style="7" customWidth="1"/>
    <col min="15878" max="15878" width="15.54296875" style="7" customWidth="1"/>
    <col min="15879" max="15879" width="30.7265625" style="7" customWidth="1"/>
    <col min="15880" max="15880" width="32.26953125" style="7" customWidth="1"/>
    <col min="15881" max="16129" width="8.7265625" style="7"/>
    <col min="16130" max="16130" width="5.453125" style="7" customWidth="1"/>
    <col min="16131" max="16132" width="25.54296875" style="7" customWidth="1"/>
    <col min="16133" max="16133" width="13.7265625" style="7" customWidth="1"/>
    <col min="16134" max="16134" width="15.54296875" style="7" customWidth="1"/>
    <col min="16135" max="16135" width="30.7265625" style="7" customWidth="1"/>
    <col min="16136" max="16136" width="32.26953125" style="7" customWidth="1"/>
    <col min="16137" max="16384" width="8.7265625" style="7"/>
  </cols>
  <sheetData>
    <row r="1" spans="1:18" x14ac:dyDescent="0.35">
      <c r="B1" s="693" t="s">
        <v>6</v>
      </c>
      <c r="C1" s="693"/>
      <c r="D1" s="693"/>
      <c r="E1" s="693"/>
      <c r="F1" s="693"/>
      <c r="G1" s="693"/>
      <c r="H1" s="693"/>
      <c r="I1" s="289"/>
    </row>
    <row r="2" spans="1:18" ht="18" x14ac:dyDescent="0.35">
      <c r="A2" s="694" t="s">
        <v>212</v>
      </c>
      <c r="B2" s="694"/>
      <c r="C2" s="694"/>
      <c r="D2" s="694"/>
      <c r="E2" s="694"/>
      <c r="F2" s="694"/>
      <c r="G2" s="694"/>
      <c r="H2" s="694"/>
      <c r="I2" s="171"/>
      <c r="J2" s="16"/>
      <c r="K2" s="16"/>
      <c r="L2" s="16"/>
      <c r="M2" s="16"/>
      <c r="N2" s="16"/>
      <c r="O2" s="16"/>
      <c r="P2" s="16"/>
      <c r="Q2" s="16"/>
      <c r="R2" s="16"/>
    </row>
    <row r="3" spans="1:18" ht="18" x14ac:dyDescent="0.35">
      <c r="A3" s="694">
        <v>2026</v>
      </c>
      <c r="B3" s="694"/>
      <c r="C3" s="694"/>
      <c r="D3" s="694"/>
      <c r="E3" s="694"/>
      <c r="F3" s="694"/>
      <c r="G3" s="694"/>
      <c r="H3" s="694"/>
      <c r="I3" s="171"/>
      <c r="J3" s="16"/>
      <c r="K3" s="16"/>
      <c r="L3" s="16"/>
      <c r="M3" s="16"/>
      <c r="N3" s="16"/>
      <c r="O3" s="16"/>
      <c r="P3" s="16"/>
      <c r="Q3" s="16"/>
      <c r="R3" s="16"/>
    </row>
    <row r="4" spans="1:18" x14ac:dyDescent="0.35">
      <c r="B4" s="4"/>
      <c r="C4" s="4"/>
      <c r="D4" s="4"/>
      <c r="E4" s="4"/>
      <c r="F4" s="4"/>
    </row>
    <row r="5" spans="1:18" ht="48.65" customHeight="1" x14ac:dyDescent="0.35">
      <c r="A5" s="687" t="s">
        <v>0</v>
      </c>
      <c r="B5" s="688"/>
      <c r="C5" s="695" t="s">
        <v>53</v>
      </c>
      <c r="D5" s="695" t="s">
        <v>3</v>
      </c>
      <c r="E5" s="695" t="s">
        <v>223</v>
      </c>
      <c r="F5" s="695" t="s">
        <v>7</v>
      </c>
      <c r="G5" s="697" t="s">
        <v>44</v>
      </c>
      <c r="H5" s="698"/>
      <c r="I5" s="290"/>
    </row>
    <row r="6" spans="1:18" ht="20.25" customHeight="1" x14ac:dyDescent="0.35">
      <c r="A6" s="689"/>
      <c r="B6" s="690"/>
      <c r="C6" s="696"/>
      <c r="D6" s="696"/>
      <c r="E6" s="696"/>
      <c r="F6" s="696"/>
      <c r="G6" s="128" t="s">
        <v>2</v>
      </c>
      <c r="H6" s="170" t="s">
        <v>1</v>
      </c>
      <c r="I6" s="290"/>
    </row>
    <row r="7" spans="1:18" s="25" customFormat="1" ht="11.5" x14ac:dyDescent="0.25">
      <c r="B7" s="80">
        <v>1</v>
      </c>
      <c r="C7" s="20">
        <v>2</v>
      </c>
      <c r="D7" s="20">
        <v>3</v>
      </c>
      <c r="E7" s="20">
        <v>4</v>
      </c>
      <c r="F7" s="20">
        <v>5</v>
      </c>
      <c r="G7" s="26">
        <v>6</v>
      </c>
      <c r="H7" s="273">
        <v>7</v>
      </c>
      <c r="I7" s="291"/>
    </row>
    <row r="8" spans="1:18" ht="28.5" customHeight="1" x14ac:dyDescent="0.35">
      <c r="A8" s="77">
        <v>1</v>
      </c>
      <c r="B8" s="32">
        <v>1</v>
      </c>
      <c r="C8" s="33" t="s">
        <v>202</v>
      </c>
      <c r="D8" s="33" t="s">
        <v>138</v>
      </c>
      <c r="E8" s="84">
        <f>D115</f>
        <v>13</v>
      </c>
      <c r="F8" s="379">
        <f>F115</f>
        <v>1</v>
      </c>
      <c r="G8" s="379">
        <f t="shared" ref="G8:H8" si="0">G115</f>
        <v>1</v>
      </c>
      <c r="H8" s="84">
        <f t="shared" si="0"/>
        <v>100</v>
      </c>
      <c r="I8" s="274"/>
      <c r="J8" s="7" t="s">
        <v>153</v>
      </c>
    </row>
    <row r="9" spans="1:18" ht="28.5" customHeight="1" x14ac:dyDescent="0.35">
      <c r="A9" s="75"/>
      <c r="B9" s="34"/>
      <c r="C9" s="35" t="s">
        <v>59</v>
      </c>
      <c r="D9" s="97" t="s">
        <v>203</v>
      </c>
      <c r="E9" s="84">
        <f>D33</f>
        <v>8</v>
      </c>
      <c r="F9" s="84">
        <f>F33</f>
        <v>1</v>
      </c>
      <c r="G9" s="84">
        <f t="shared" ref="G9:H9" si="1">G33</f>
        <v>1</v>
      </c>
      <c r="H9" s="84">
        <f t="shared" si="1"/>
        <v>100</v>
      </c>
      <c r="I9" s="274"/>
    </row>
    <row r="10" spans="1:18" ht="28.5" customHeight="1" x14ac:dyDescent="0.35">
      <c r="A10" s="75"/>
      <c r="B10" s="34"/>
      <c r="C10" s="35" t="s">
        <v>127</v>
      </c>
      <c r="D10" s="35" t="s">
        <v>128</v>
      </c>
      <c r="E10" s="84">
        <f>D101</f>
        <v>9</v>
      </c>
      <c r="F10" s="49">
        <f>F101</f>
        <v>7</v>
      </c>
      <c r="G10" s="49">
        <f t="shared" ref="G10:H10" si="2">G101</f>
        <v>7</v>
      </c>
      <c r="H10" s="49">
        <f t="shared" si="2"/>
        <v>100</v>
      </c>
      <c r="I10" s="274"/>
      <c r="J10" s="7" t="s">
        <v>154</v>
      </c>
      <c r="L10" s="7" t="s">
        <v>155</v>
      </c>
    </row>
    <row r="11" spans="1:18" ht="28.5" customHeight="1" x14ac:dyDescent="0.35">
      <c r="A11" s="75"/>
      <c r="B11" s="34"/>
      <c r="C11" s="35" t="s">
        <v>204</v>
      </c>
      <c r="D11" s="35" t="s">
        <v>193</v>
      </c>
      <c r="E11" s="84">
        <f>D81</f>
        <v>12</v>
      </c>
      <c r="F11" s="380">
        <f>F81</f>
        <v>1661</v>
      </c>
      <c r="G11" s="380">
        <f t="shared" ref="G11:H11" si="3">G81</f>
        <v>27</v>
      </c>
      <c r="H11" s="49">
        <f t="shared" si="3"/>
        <v>1.6255267910897049</v>
      </c>
      <c r="I11" s="274"/>
      <c r="J11" s="7" t="s">
        <v>156</v>
      </c>
      <c r="L11" s="7" t="s">
        <v>157</v>
      </c>
      <c r="M11" s="7" t="s">
        <v>158</v>
      </c>
    </row>
    <row r="12" spans="1:18" ht="28.5" customHeight="1" x14ac:dyDescent="0.35">
      <c r="A12" s="75"/>
      <c r="B12" s="34"/>
      <c r="C12" s="35" t="s">
        <v>69</v>
      </c>
      <c r="D12" s="35" t="s">
        <v>194</v>
      </c>
      <c r="E12" s="84">
        <f>D41</f>
        <v>7</v>
      </c>
      <c r="F12" s="49">
        <f>F41</f>
        <v>1</v>
      </c>
      <c r="G12" s="49">
        <f t="shared" ref="G12:H12" si="4">G41</f>
        <v>1</v>
      </c>
      <c r="H12" s="49">
        <f t="shared" si="4"/>
        <v>100</v>
      </c>
      <c r="I12" s="274"/>
      <c r="L12" s="7" t="s">
        <v>159</v>
      </c>
      <c r="M12" s="7" t="s">
        <v>160</v>
      </c>
    </row>
    <row r="13" spans="1:18" ht="28.5" customHeight="1" x14ac:dyDescent="0.35">
      <c r="A13" s="75"/>
      <c r="B13" s="34"/>
      <c r="C13" s="35" t="s">
        <v>195</v>
      </c>
      <c r="D13" s="35" t="s">
        <v>205</v>
      </c>
      <c r="E13" s="84">
        <f>D91</f>
        <v>9</v>
      </c>
      <c r="F13" s="380">
        <f>F91</f>
        <v>0</v>
      </c>
      <c r="G13" s="380">
        <f t="shared" ref="G13:H13" si="5">G91</f>
        <v>0</v>
      </c>
      <c r="H13" s="49">
        <f t="shared" si="5"/>
        <v>0</v>
      </c>
      <c r="I13" s="274"/>
    </row>
    <row r="14" spans="1:18" ht="28.5" customHeight="1" x14ac:dyDescent="0.35">
      <c r="A14" s="75"/>
      <c r="B14" s="34"/>
      <c r="C14" s="35" t="s">
        <v>196</v>
      </c>
      <c r="D14" s="35" t="s">
        <v>197</v>
      </c>
      <c r="E14" s="84">
        <f>D68</f>
        <v>11</v>
      </c>
      <c r="F14" s="49">
        <f>F68</f>
        <v>1</v>
      </c>
      <c r="G14" s="49">
        <f t="shared" ref="G14:H14" si="6">G68</f>
        <v>1</v>
      </c>
      <c r="H14" s="49">
        <f t="shared" si="6"/>
        <v>100</v>
      </c>
      <c r="I14" s="274"/>
      <c r="L14" s="7" t="s">
        <v>161</v>
      </c>
    </row>
    <row r="15" spans="1:18" ht="28.5" customHeight="1" x14ac:dyDescent="0.35">
      <c r="A15" s="75"/>
      <c r="B15" s="34"/>
      <c r="C15" s="35"/>
      <c r="D15" s="35" t="s">
        <v>198</v>
      </c>
      <c r="E15" s="84">
        <f>D48</f>
        <v>6</v>
      </c>
      <c r="F15" s="49">
        <f>F48</f>
        <v>3</v>
      </c>
      <c r="G15" s="49">
        <f t="shared" ref="G15:H15" si="7">G48</f>
        <v>3</v>
      </c>
      <c r="H15" s="49">
        <f t="shared" si="7"/>
        <v>100</v>
      </c>
      <c r="I15" s="274"/>
      <c r="L15" s="7" t="s">
        <v>162</v>
      </c>
    </row>
    <row r="16" spans="1:18" ht="28.5" customHeight="1" x14ac:dyDescent="0.35">
      <c r="A16" s="82"/>
      <c r="B16" s="34"/>
      <c r="C16" s="35" t="s">
        <v>199</v>
      </c>
      <c r="D16" s="35" t="s">
        <v>206</v>
      </c>
      <c r="E16" s="66">
        <f>D56</f>
        <v>7</v>
      </c>
      <c r="F16" s="144">
        <f>F56</f>
        <v>2</v>
      </c>
      <c r="G16" s="144">
        <f t="shared" ref="G16:H16" si="8">G56</f>
        <v>2</v>
      </c>
      <c r="H16" s="144">
        <f t="shared" si="8"/>
        <v>100</v>
      </c>
      <c r="I16" s="274"/>
    </row>
    <row r="17" spans="1:13" ht="28.5" customHeight="1" x14ac:dyDescent="0.35">
      <c r="A17" s="82"/>
      <c r="B17" s="34"/>
      <c r="C17" s="376" t="s">
        <v>179</v>
      </c>
      <c r="D17" s="376" t="s">
        <v>168</v>
      </c>
      <c r="E17" s="377">
        <f>D138</f>
        <v>10</v>
      </c>
      <c r="F17" s="378">
        <f>F138</f>
        <v>1</v>
      </c>
      <c r="G17" s="378">
        <f t="shared" ref="G17:H17" si="9">G138</f>
        <v>1</v>
      </c>
      <c r="H17" s="378">
        <f t="shared" si="9"/>
        <v>100</v>
      </c>
      <c r="I17" s="274"/>
    </row>
    <row r="18" spans="1:13" ht="28.5" customHeight="1" x14ac:dyDescent="0.35">
      <c r="A18" s="82"/>
      <c r="B18" s="54"/>
      <c r="C18" s="55" t="s">
        <v>200</v>
      </c>
      <c r="D18" s="55" t="s">
        <v>201</v>
      </c>
      <c r="E18" s="66">
        <f>D127</f>
        <v>11</v>
      </c>
      <c r="F18" s="381">
        <f>F127</f>
        <v>2</v>
      </c>
      <c r="G18" s="83">
        <f t="shared" ref="G18:H18" si="10">G127</f>
        <v>2</v>
      </c>
      <c r="H18" s="83">
        <f t="shared" si="10"/>
        <v>100</v>
      </c>
      <c r="I18" s="274"/>
    </row>
    <row r="19" spans="1:13" ht="28.5" customHeight="1" x14ac:dyDescent="0.35">
      <c r="A19" s="82"/>
      <c r="B19" s="110"/>
      <c r="C19" s="691" t="s">
        <v>2</v>
      </c>
      <c r="D19" s="692"/>
      <c r="E19" s="130">
        <f>SUM(E8:E18)</f>
        <v>103</v>
      </c>
      <c r="F19" s="130">
        <f>SUM(F8:F18)</f>
        <v>1680</v>
      </c>
      <c r="G19" s="130">
        <f t="shared" ref="G19" si="11">SUM(G8:G18)</f>
        <v>46</v>
      </c>
      <c r="H19" s="275">
        <f>G19/F19*100</f>
        <v>2.7380952380952381</v>
      </c>
      <c r="I19" s="274"/>
    </row>
    <row r="20" spans="1:13" x14ac:dyDescent="0.35">
      <c r="B20" s="4"/>
      <c r="C20" s="4"/>
      <c r="D20" s="4"/>
      <c r="E20" s="4"/>
      <c r="F20" s="4"/>
    </row>
    <row r="21" spans="1:13" x14ac:dyDescent="0.35">
      <c r="B21" s="4"/>
      <c r="C21" s="4"/>
      <c r="D21" s="4"/>
      <c r="E21" s="4"/>
      <c r="F21" s="4"/>
    </row>
    <row r="22" spans="1:13" ht="48.65" customHeight="1" x14ac:dyDescent="0.35">
      <c r="A22" s="687" t="s">
        <v>0</v>
      </c>
      <c r="B22" s="688"/>
      <c r="C22" s="695" t="s">
        <v>53</v>
      </c>
      <c r="D22" s="695" t="s">
        <v>51</v>
      </c>
      <c r="E22" s="695" t="s">
        <v>52</v>
      </c>
      <c r="F22" s="695" t="s">
        <v>7</v>
      </c>
      <c r="G22" s="697" t="s">
        <v>44</v>
      </c>
      <c r="H22" s="698"/>
      <c r="I22" s="166"/>
    </row>
    <row r="23" spans="1:13" ht="20.25" customHeight="1" x14ac:dyDescent="0.35">
      <c r="A23" s="689"/>
      <c r="B23" s="690"/>
      <c r="C23" s="696"/>
      <c r="D23" s="696"/>
      <c r="E23" s="696"/>
      <c r="F23" s="696"/>
      <c r="G23" s="128" t="s">
        <v>2</v>
      </c>
      <c r="H23" s="128" t="s">
        <v>1</v>
      </c>
      <c r="I23" s="166"/>
    </row>
    <row r="24" spans="1:13" s="25" customFormat="1" ht="11.5" x14ac:dyDescent="0.25">
      <c r="B24" s="80">
        <v>1</v>
      </c>
      <c r="C24" s="20">
        <v>2</v>
      </c>
      <c r="D24" s="20">
        <v>3</v>
      </c>
      <c r="E24" s="20">
        <v>4</v>
      </c>
      <c r="F24" s="20">
        <v>5</v>
      </c>
      <c r="G24" s="26">
        <v>6</v>
      </c>
      <c r="H24" s="26">
        <v>7</v>
      </c>
      <c r="I24" s="167"/>
    </row>
    <row r="25" spans="1:13" s="206" customFormat="1" ht="28.5" customHeight="1" x14ac:dyDescent="0.35">
      <c r="A25" s="202">
        <v>1</v>
      </c>
      <c r="B25" s="203">
        <v>1</v>
      </c>
      <c r="C25" s="204" t="s">
        <v>58</v>
      </c>
      <c r="D25" s="204" t="s">
        <v>60</v>
      </c>
      <c r="E25" s="205">
        <v>3</v>
      </c>
      <c r="F25" s="205"/>
      <c r="G25" s="205">
        <v>0</v>
      </c>
      <c r="H25" s="221" t="e">
        <f>G25/F25*100</f>
        <v>#DIV/0!</v>
      </c>
      <c r="I25" s="299"/>
      <c r="J25" s="299"/>
      <c r="K25" s="292">
        <v>0</v>
      </c>
      <c r="L25" s="299"/>
    </row>
    <row r="26" spans="1:13" s="206" customFormat="1" ht="28.5" customHeight="1" x14ac:dyDescent="0.35">
      <c r="A26" s="207"/>
      <c r="B26" s="203">
        <v>2</v>
      </c>
      <c r="C26" s="204"/>
      <c r="D26" s="204" t="s">
        <v>61</v>
      </c>
      <c r="E26" s="205">
        <v>5</v>
      </c>
      <c r="F26" s="205">
        <v>0</v>
      </c>
      <c r="G26" s="205">
        <v>0</v>
      </c>
      <c r="H26" s="205" t="e">
        <f t="shared" ref="H26:H32" si="12">G26/F26*100</f>
        <v>#DIV/0!</v>
      </c>
      <c r="I26" s="299"/>
      <c r="J26" s="299"/>
      <c r="K26" s="292">
        <v>0</v>
      </c>
      <c r="L26" s="299"/>
    </row>
    <row r="27" spans="1:13" s="206" customFormat="1" ht="28.5" customHeight="1" x14ac:dyDescent="0.35">
      <c r="A27" s="207"/>
      <c r="B27" s="203">
        <v>3</v>
      </c>
      <c r="C27" s="204"/>
      <c r="D27" s="204" t="s">
        <v>228</v>
      </c>
      <c r="E27" s="205">
        <v>3</v>
      </c>
      <c r="F27" s="205">
        <v>0</v>
      </c>
      <c r="G27" s="205">
        <v>0</v>
      </c>
      <c r="H27" s="205" t="e">
        <f t="shared" si="12"/>
        <v>#DIV/0!</v>
      </c>
      <c r="I27" s="299"/>
      <c r="J27" s="299"/>
      <c r="K27" s="292">
        <v>0</v>
      </c>
      <c r="L27" s="299"/>
    </row>
    <row r="28" spans="1:13" s="206" customFormat="1" ht="28.5" customHeight="1" x14ac:dyDescent="0.35">
      <c r="A28" s="207"/>
      <c r="B28" s="203">
        <v>4</v>
      </c>
      <c r="C28" s="204"/>
      <c r="D28" s="204" t="s">
        <v>63</v>
      </c>
      <c r="E28" s="205">
        <v>8</v>
      </c>
      <c r="F28" s="205">
        <v>0</v>
      </c>
      <c r="G28" s="205">
        <v>0</v>
      </c>
      <c r="H28" s="205" t="e">
        <f t="shared" si="12"/>
        <v>#DIV/0!</v>
      </c>
      <c r="I28" s="299"/>
      <c r="J28" s="299"/>
      <c r="K28" s="292">
        <v>0</v>
      </c>
      <c r="L28" s="299"/>
      <c r="M28" s="206" t="s">
        <v>158</v>
      </c>
    </row>
    <row r="29" spans="1:13" s="206" customFormat="1" ht="28.5" customHeight="1" x14ac:dyDescent="0.35">
      <c r="A29" s="207"/>
      <c r="B29" s="203">
        <v>5</v>
      </c>
      <c r="C29" s="204"/>
      <c r="D29" s="204" t="s">
        <v>64</v>
      </c>
      <c r="E29" s="205">
        <v>42</v>
      </c>
      <c r="F29" s="205">
        <v>1</v>
      </c>
      <c r="G29" s="205">
        <v>1</v>
      </c>
      <c r="H29" s="205">
        <f t="shared" si="12"/>
        <v>100</v>
      </c>
      <c r="I29" s="299"/>
      <c r="J29" s="299"/>
      <c r="K29" s="293">
        <v>1</v>
      </c>
      <c r="L29" s="299"/>
      <c r="M29" s="206" t="s">
        <v>160</v>
      </c>
    </row>
    <row r="30" spans="1:13" s="206" customFormat="1" ht="28.5" customHeight="1" x14ac:dyDescent="0.35">
      <c r="A30" s="207"/>
      <c r="B30" s="203">
        <v>6</v>
      </c>
      <c r="C30" s="204"/>
      <c r="D30" s="204" t="s">
        <v>65</v>
      </c>
      <c r="E30" s="205">
        <v>5</v>
      </c>
      <c r="F30" s="205">
        <v>0</v>
      </c>
      <c r="G30" s="205">
        <v>0</v>
      </c>
      <c r="H30" s="205" t="e">
        <f t="shared" si="12"/>
        <v>#DIV/0!</v>
      </c>
      <c r="I30" s="299"/>
      <c r="J30" s="299"/>
      <c r="K30" s="292">
        <v>0</v>
      </c>
      <c r="L30" s="299"/>
    </row>
    <row r="31" spans="1:13" s="206" customFormat="1" ht="28.5" customHeight="1" x14ac:dyDescent="0.35">
      <c r="A31" s="207"/>
      <c r="B31" s="203">
        <v>7</v>
      </c>
      <c r="C31" s="204"/>
      <c r="D31" s="204" t="s">
        <v>229</v>
      </c>
      <c r="E31" s="205">
        <v>6</v>
      </c>
      <c r="F31" s="205">
        <v>0</v>
      </c>
      <c r="G31" s="205">
        <v>0</v>
      </c>
      <c r="H31" s="205" t="e">
        <f t="shared" si="12"/>
        <v>#DIV/0!</v>
      </c>
      <c r="I31" s="299"/>
      <c r="J31" s="299"/>
      <c r="K31" s="292">
        <v>0</v>
      </c>
      <c r="L31" s="299"/>
    </row>
    <row r="32" spans="1:13" s="206" customFormat="1" ht="28.5" customHeight="1" x14ac:dyDescent="0.35">
      <c r="A32" s="207"/>
      <c r="B32" s="203">
        <v>8</v>
      </c>
      <c r="C32" s="208"/>
      <c r="D32" s="208" t="s">
        <v>66</v>
      </c>
      <c r="E32" s="209">
        <v>5</v>
      </c>
      <c r="F32" s="209">
        <v>0</v>
      </c>
      <c r="G32" s="209">
        <v>0</v>
      </c>
      <c r="H32" s="209" t="e">
        <f t="shared" si="12"/>
        <v>#DIV/0!</v>
      </c>
      <c r="I32" s="299"/>
      <c r="J32" s="299"/>
      <c r="K32" s="292">
        <v>0</v>
      </c>
      <c r="L32" s="299"/>
    </row>
    <row r="33" spans="1:9" s="206" customFormat="1" ht="28.5" customHeight="1" x14ac:dyDescent="0.35">
      <c r="A33" s="210"/>
      <c r="B33" s="211"/>
      <c r="C33" s="212" t="s">
        <v>191</v>
      </c>
      <c r="D33" s="213">
        <v>8</v>
      </c>
      <c r="E33" s="213">
        <f t="shared" ref="E33:F33" si="13">SUM(E25:E32)</f>
        <v>77</v>
      </c>
      <c r="F33" s="213">
        <f t="shared" si="13"/>
        <v>1</v>
      </c>
      <c r="G33" s="213">
        <f>SUM(G25:G32)</f>
        <v>1</v>
      </c>
      <c r="H33" s="276">
        <f>G33/F33*100</f>
        <v>100</v>
      </c>
      <c r="I33" s="294"/>
    </row>
    <row r="34" spans="1:9" s="206" customFormat="1" ht="28.5" customHeight="1" x14ac:dyDescent="0.35">
      <c r="A34" s="214">
        <v>2</v>
      </c>
      <c r="B34" s="215">
        <v>1</v>
      </c>
      <c r="C34" s="216" t="s">
        <v>69</v>
      </c>
      <c r="D34" s="302" t="s">
        <v>70</v>
      </c>
      <c r="E34" s="357">
        <v>2</v>
      </c>
      <c r="F34" s="357">
        <v>0</v>
      </c>
      <c r="G34" s="360">
        <v>0</v>
      </c>
      <c r="H34" s="278">
        <v>0</v>
      </c>
      <c r="I34" s="295"/>
    </row>
    <row r="35" spans="1:9" s="206" customFormat="1" ht="28.5" customHeight="1" x14ac:dyDescent="0.35">
      <c r="A35" s="210"/>
      <c r="B35" s="203">
        <v>2</v>
      </c>
      <c r="C35" s="218"/>
      <c r="D35" s="303" t="s">
        <v>71</v>
      </c>
      <c r="E35" s="358">
        <v>4</v>
      </c>
      <c r="F35" s="358">
        <v>0</v>
      </c>
      <c r="G35" s="361">
        <v>0</v>
      </c>
      <c r="H35" s="278">
        <v>0</v>
      </c>
      <c r="I35" s="295"/>
    </row>
    <row r="36" spans="1:9" s="206" customFormat="1" ht="28.5" customHeight="1" x14ac:dyDescent="0.35">
      <c r="A36" s="210"/>
      <c r="B36" s="203">
        <v>3</v>
      </c>
      <c r="C36" s="218"/>
      <c r="D36" s="303" t="s">
        <v>72</v>
      </c>
      <c r="E36" s="358">
        <v>10</v>
      </c>
      <c r="F36" s="358">
        <v>1</v>
      </c>
      <c r="G36" s="361">
        <v>1</v>
      </c>
      <c r="H36" s="278">
        <f t="shared" ref="H36" si="14">G36/F36*100</f>
        <v>100</v>
      </c>
      <c r="I36" s="295"/>
    </row>
    <row r="37" spans="1:9" s="206" customFormat="1" ht="28.5" customHeight="1" x14ac:dyDescent="0.35">
      <c r="A37" s="210"/>
      <c r="B37" s="203">
        <v>4</v>
      </c>
      <c r="C37" s="218"/>
      <c r="D37" s="303" t="s">
        <v>73</v>
      </c>
      <c r="E37" s="358">
        <v>4</v>
      </c>
      <c r="F37" s="358">
        <v>0</v>
      </c>
      <c r="G37" s="361">
        <v>0</v>
      </c>
      <c r="H37" s="278">
        <v>0</v>
      </c>
      <c r="I37" s="295"/>
    </row>
    <row r="38" spans="1:9" s="206" customFormat="1" ht="28.5" customHeight="1" x14ac:dyDescent="0.35">
      <c r="A38" s="210"/>
      <c r="B38" s="203">
        <v>5</v>
      </c>
      <c r="C38" s="218"/>
      <c r="D38" s="303" t="s">
        <v>74</v>
      </c>
      <c r="E38" s="358">
        <v>2</v>
      </c>
      <c r="F38" s="358">
        <v>0</v>
      </c>
      <c r="G38" s="361">
        <v>0</v>
      </c>
      <c r="H38" s="278">
        <v>0</v>
      </c>
      <c r="I38" s="295"/>
    </row>
    <row r="39" spans="1:9" s="206" customFormat="1" ht="28.5" customHeight="1" x14ac:dyDescent="0.35">
      <c r="A39" s="210"/>
      <c r="B39" s="203">
        <v>6</v>
      </c>
      <c r="C39" s="218"/>
      <c r="D39" s="303" t="s">
        <v>75</v>
      </c>
      <c r="E39" s="358">
        <v>9</v>
      </c>
      <c r="F39" s="358">
        <v>0</v>
      </c>
      <c r="G39" s="361">
        <v>0</v>
      </c>
      <c r="H39" s="278">
        <v>0</v>
      </c>
      <c r="I39" s="295"/>
    </row>
    <row r="40" spans="1:9" s="206" customFormat="1" ht="28.5" customHeight="1" x14ac:dyDescent="0.35">
      <c r="A40" s="220"/>
      <c r="B40" s="203">
        <v>7</v>
      </c>
      <c r="C40" s="218"/>
      <c r="D40" s="304" t="s">
        <v>76</v>
      </c>
      <c r="E40" s="358">
        <v>4</v>
      </c>
      <c r="F40" s="358">
        <v>0</v>
      </c>
      <c r="G40" s="361">
        <v>0</v>
      </c>
      <c r="H40" s="278">
        <v>0</v>
      </c>
      <c r="I40" s="295"/>
    </row>
    <row r="41" spans="1:9" ht="28.5" customHeight="1" x14ac:dyDescent="0.35">
      <c r="A41" s="82"/>
      <c r="B41" s="102"/>
      <c r="C41" s="92"/>
      <c r="D41" s="146">
        <v>7</v>
      </c>
      <c r="E41" s="359">
        <f>SUM(E34:E40)</f>
        <v>35</v>
      </c>
      <c r="F41" s="359">
        <f>SUM(F34:F40)</f>
        <v>1</v>
      </c>
      <c r="G41" s="359">
        <f>SUM(G34:G40)</f>
        <v>1</v>
      </c>
      <c r="H41" s="277">
        <f>G41/F41*100</f>
        <v>100</v>
      </c>
      <c r="I41" s="296"/>
    </row>
    <row r="42" spans="1:9" s="51" customFormat="1" ht="28.5" customHeight="1" x14ac:dyDescent="0.35">
      <c r="A42" s="269">
        <v>3</v>
      </c>
      <c r="B42" s="419">
        <v>1</v>
      </c>
      <c r="C42" s="420" t="s">
        <v>77</v>
      </c>
      <c r="D42" s="420" t="s">
        <v>78</v>
      </c>
      <c r="E42" s="387">
        <v>14</v>
      </c>
      <c r="F42" s="419">
        <v>1</v>
      </c>
      <c r="G42" s="419">
        <v>1</v>
      </c>
      <c r="H42" s="387">
        <f>G42/F42*100</f>
        <v>100</v>
      </c>
      <c r="I42" s="274"/>
    </row>
    <row r="43" spans="1:9" s="51" customFormat="1" ht="28.5" customHeight="1" x14ac:dyDescent="0.35">
      <c r="A43" s="270"/>
      <c r="B43" s="421">
        <v>2</v>
      </c>
      <c r="C43" s="422"/>
      <c r="D43" s="422" t="s">
        <v>79</v>
      </c>
      <c r="E43" s="353">
        <v>5</v>
      </c>
      <c r="F43" s="421">
        <v>1</v>
      </c>
      <c r="G43" s="421">
        <v>1</v>
      </c>
      <c r="H43" s="353">
        <f t="shared" ref="H43:H47" si="15">G43/F43*100</f>
        <v>100</v>
      </c>
      <c r="I43" s="274"/>
    </row>
    <row r="44" spans="1:9" s="51" customFormat="1" ht="28.5" customHeight="1" x14ac:dyDescent="0.35">
      <c r="A44" s="270"/>
      <c r="B44" s="421">
        <v>3</v>
      </c>
      <c r="C44" s="422"/>
      <c r="D44" s="422" t="s">
        <v>80</v>
      </c>
      <c r="E44" s="353">
        <v>3</v>
      </c>
      <c r="F44" s="421">
        <v>0</v>
      </c>
      <c r="G44" s="421">
        <v>0</v>
      </c>
      <c r="H44" s="353" t="e">
        <f t="shared" si="15"/>
        <v>#DIV/0!</v>
      </c>
      <c r="I44" s="274"/>
    </row>
    <row r="45" spans="1:9" s="51" customFormat="1" ht="28.5" customHeight="1" x14ac:dyDescent="0.35">
      <c r="A45" s="270"/>
      <c r="B45" s="421">
        <v>4</v>
      </c>
      <c r="C45" s="422"/>
      <c r="D45" s="422" t="s">
        <v>81</v>
      </c>
      <c r="E45" s="353">
        <v>4</v>
      </c>
      <c r="F45" s="421">
        <v>0</v>
      </c>
      <c r="G45" s="421">
        <v>0</v>
      </c>
      <c r="H45" s="353" t="e">
        <f t="shared" si="15"/>
        <v>#DIV/0!</v>
      </c>
      <c r="I45" s="274"/>
    </row>
    <row r="46" spans="1:9" s="51" customFormat="1" ht="28.5" customHeight="1" x14ac:dyDescent="0.35">
      <c r="A46" s="270"/>
      <c r="B46" s="421">
        <v>5</v>
      </c>
      <c r="C46" s="422"/>
      <c r="D46" s="422" t="s">
        <v>82</v>
      </c>
      <c r="E46" s="353">
        <v>3</v>
      </c>
      <c r="F46" s="421">
        <v>1</v>
      </c>
      <c r="G46" s="421">
        <v>1</v>
      </c>
      <c r="H46" s="353">
        <f t="shared" si="15"/>
        <v>100</v>
      </c>
      <c r="I46" s="274"/>
    </row>
    <row r="47" spans="1:9" s="51" customFormat="1" ht="28.5" customHeight="1" x14ac:dyDescent="0.35">
      <c r="A47" s="271"/>
      <c r="B47" s="423">
        <v>6</v>
      </c>
      <c r="C47" s="424"/>
      <c r="D47" s="424" t="s">
        <v>83</v>
      </c>
      <c r="E47" s="394">
        <v>8</v>
      </c>
      <c r="F47" s="423">
        <v>0</v>
      </c>
      <c r="G47" s="423">
        <v>0</v>
      </c>
      <c r="H47" s="394" t="e">
        <f t="shared" si="15"/>
        <v>#DIV/0!</v>
      </c>
      <c r="I47" s="274"/>
    </row>
    <row r="48" spans="1:9" s="51" customFormat="1" ht="28.5" customHeight="1" x14ac:dyDescent="0.35">
      <c r="A48" s="270"/>
      <c r="B48" s="423"/>
      <c r="C48" s="424"/>
      <c r="D48" s="423">
        <v>6</v>
      </c>
      <c r="E48" s="394">
        <f>SUM(E42:E47)</f>
        <v>37</v>
      </c>
      <c r="F48" s="394">
        <f>SUM(F42:F47)</f>
        <v>3</v>
      </c>
      <c r="G48" s="394">
        <f>SUM(G42:G47)</f>
        <v>3</v>
      </c>
      <c r="H48" s="425">
        <f>G48/F48*100</f>
        <v>100</v>
      </c>
      <c r="I48" s="274"/>
    </row>
    <row r="49" spans="1:9" s="224" customFormat="1" ht="28.5" customHeight="1" x14ac:dyDescent="0.35">
      <c r="A49" s="222">
        <v>4</v>
      </c>
      <c r="B49" s="226">
        <v>1</v>
      </c>
      <c r="C49" s="227" t="s">
        <v>84</v>
      </c>
      <c r="D49" s="228" t="s">
        <v>90</v>
      </c>
      <c r="E49" s="205">
        <v>7</v>
      </c>
      <c r="F49" s="223">
        <v>0</v>
      </c>
      <c r="G49" s="272">
        <v>0</v>
      </c>
      <c r="H49" s="278" t="e">
        <f>G49/F49*100</f>
        <v>#DIV/0!</v>
      </c>
      <c r="I49" s="295"/>
    </row>
    <row r="50" spans="1:9" s="224" customFormat="1" ht="28.5" customHeight="1" x14ac:dyDescent="0.35">
      <c r="A50" s="225"/>
      <c r="B50" s="226">
        <v>2</v>
      </c>
      <c r="C50" s="227"/>
      <c r="D50" s="228" t="s">
        <v>85</v>
      </c>
      <c r="E50" s="205">
        <v>2</v>
      </c>
      <c r="F50" s="223">
        <v>0</v>
      </c>
      <c r="G50" s="229">
        <v>0</v>
      </c>
      <c r="H50" s="278" t="e">
        <f t="shared" ref="H50:H55" si="16">G50/F50*100</f>
        <v>#DIV/0!</v>
      </c>
      <c r="I50" s="295"/>
    </row>
    <row r="51" spans="1:9" s="224" customFormat="1" ht="28.5" customHeight="1" x14ac:dyDescent="0.35">
      <c r="A51" s="225"/>
      <c r="B51" s="226">
        <v>3</v>
      </c>
      <c r="C51" s="227"/>
      <c r="D51" s="228" t="s">
        <v>86</v>
      </c>
      <c r="E51" s="205">
        <v>3</v>
      </c>
      <c r="F51" s="411">
        <v>0</v>
      </c>
      <c r="G51" s="229">
        <v>0</v>
      </c>
      <c r="H51" s="278" t="e">
        <f t="shared" si="16"/>
        <v>#DIV/0!</v>
      </c>
      <c r="I51" s="295"/>
    </row>
    <row r="52" spans="1:9" s="224" customFormat="1" ht="28.5" customHeight="1" x14ac:dyDescent="0.35">
      <c r="A52" s="225"/>
      <c r="B52" s="226">
        <v>4</v>
      </c>
      <c r="C52" s="227"/>
      <c r="D52" s="228" t="s">
        <v>70</v>
      </c>
      <c r="E52" s="205">
        <v>6</v>
      </c>
      <c r="F52" s="223">
        <v>0</v>
      </c>
      <c r="G52" s="230">
        <v>0</v>
      </c>
      <c r="H52" s="278" t="e">
        <f t="shared" si="16"/>
        <v>#DIV/0!</v>
      </c>
      <c r="I52" s="295"/>
    </row>
    <row r="53" spans="1:9" s="224" customFormat="1" ht="28.5" customHeight="1" x14ac:dyDescent="0.35">
      <c r="A53" s="225"/>
      <c r="B53" s="226">
        <v>5</v>
      </c>
      <c r="C53" s="227"/>
      <c r="D53" s="228" t="s">
        <v>87</v>
      </c>
      <c r="E53" s="205">
        <v>5</v>
      </c>
      <c r="F53" s="223">
        <v>1</v>
      </c>
      <c r="G53" s="229">
        <v>1</v>
      </c>
      <c r="H53" s="278">
        <f t="shared" si="16"/>
        <v>100</v>
      </c>
      <c r="I53" s="295"/>
    </row>
    <row r="54" spans="1:9" s="224" customFormat="1" ht="28.5" customHeight="1" x14ac:dyDescent="0.35">
      <c r="A54" s="225"/>
      <c r="B54" s="226">
        <v>6</v>
      </c>
      <c r="C54" s="227"/>
      <c r="D54" s="228" t="s">
        <v>88</v>
      </c>
      <c r="E54" s="205">
        <v>6</v>
      </c>
      <c r="F54" s="223">
        <v>0</v>
      </c>
      <c r="G54" s="229">
        <v>0</v>
      </c>
      <c r="H54" s="278" t="e">
        <f t="shared" si="16"/>
        <v>#DIV/0!</v>
      </c>
      <c r="I54" s="295"/>
    </row>
    <row r="55" spans="1:9" s="224" customFormat="1" ht="28.5" customHeight="1" x14ac:dyDescent="0.35">
      <c r="A55" s="231"/>
      <c r="B55" s="232">
        <v>7</v>
      </c>
      <c r="C55" s="233"/>
      <c r="D55" s="228" t="s">
        <v>89</v>
      </c>
      <c r="E55" s="205">
        <v>2</v>
      </c>
      <c r="F55" s="223">
        <v>1</v>
      </c>
      <c r="G55" s="229">
        <v>1</v>
      </c>
      <c r="H55" s="278">
        <f t="shared" si="16"/>
        <v>100</v>
      </c>
      <c r="I55" s="295"/>
    </row>
    <row r="56" spans="1:9" s="224" customFormat="1" ht="28.5" customHeight="1" x14ac:dyDescent="0.35">
      <c r="A56" s="225"/>
      <c r="B56" s="234"/>
      <c r="C56" s="235"/>
      <c r="D56" s="234">
        <v>7</v>
      </c>
      <c r="E56" s="236">
        <f>SUM(E49:E55)</f>
        <v>31</v>
      </c>
      <c r="F56" s="236">
        <f>SUM(F49:F55)</f>
        <v>2</v>
      </c>
      <c r="G56" s="236">
        <f>SUM(G49:G55)</f>
        <v>2</v>
      </c>
      <c r="H56" s="279">
        <f>G56/F56*100</f>
        <v>100</v>
      </c>
      <c r="I56" s="294"/>
    </row>
    <row r="57" spans="1:9" s="206" customFormat="1" ht="28.5" customHeight="1" x14ac:dyDescent="0.35">
      <c r="A57" s="214">
        <v>5</v>
      </c>
      <c r="B57" s="203">
        <v>1</v>
      </c>
      <c r="C57" s="237" t="s">
        <v>77</v>
      </c>
      <c r="D57" s="175" t="s">
        <v>91</v>
      </c>
      <c r="E57" s="219">
        <v>23</v>
      </c>
      <c r="F57" s="362">
        <v>1</v>
      </c>
      <c r="G57" s="363">
        <v>1</v>
      </c>
      <c r="H57" s="278">
        <f>G57/F57*100</f>
        <v>100</v>
      </c>
      <c r="I57" s="295"/>
    </row>
    <row r="58" spans="1:9" s="206" customFormat="1" ht="28.5" customHeight="1" x14ac:dyDescent="0.35">
      <c r="A58" s="210"/>
      <c r="B58" s="203">
        <v>2</v>
      </c>
      <c r="C58" s="237"/>
      <c r="D58" s="175" t="s">
        <v>92</v>
      </c>
      <c r="E58" s="219">
        <v>6</v>
      </c>
      <c r="F58" s="245">
        <v>0</v>
      </c>
      <c r="G58" s="246">
        <v>0</v>
      </c>
      <c r="H58" s="278">
        <f>G58</f>
        <v>0</v>
      </c>
      <c r="I58" s="295"/>
    </row>
    <row r="59" spans="1:9" s="206" customFormat="1" ht="28.5" customHeight="1" x14ac:dyDescent="0.35">
      <c r="A59" s="210"/>
      <c r="B59" s="203">
        <v>3</v>
      </c>
      <c r="C59" s="237"/>
      <c r="D59" s="175" t="s">
        <v>93</v>
      </c>
      <c r="E59" s="219">
        <v>6</v>
      </c>
      <c r="F59" s="245">
        <v>0</v>
      </c>
      <c r="G59" s="246">
        <v>0</v>
      </c>
      <c r="H59" s="278">
        <f t="shared" ref="H59:H67" si="17">G59</f>
        <v>0</v>
      </c>
      <c r="I59" s="295"/>
    </row>
    <row r="60" spans="1:9" s="206" customFormat="1" ht="28.5" customHeight="1" x14ac:dyDescent="0.35">
      <c r="A60" s="210"/>
      <c r="B60" s="203">
        <v>4</v>
      </c>
      <c r="C60" s="237"/>
      <c r="D60" s="175" t="s">
        <v>94</v>
      </c>
      <c r="E60" s="219">
        <v>3</v>
      </c>
      <c r="F60" s="245">
        <v>0</v>
      </c>
      <c r="G60" s="246">
        <v>0</v>
      </c>
      <c r="H60" s="278">
        <f t="shared" si="17"/>
        <v>0</v>
      </c>
      <c r="I60" s="295"/>
    </row>
    <row r="61" spans="1:9" s="206" customFormat="1" ht="28.5" customHeight="1" x14ac:dyDescent="0.35">
      <c r="A61" s="210"/>
      <c r="B61" s="203">
        <v>5</v>
      </c>
      <c r="C61" s="237"/>
      <c r="D61" s="175" t="s">
        <v>95</v>
      </c>
      <c r="E61" s="219">
        <v>5</v>
      </c>
      <c r="F61" s="245">
        <v>0</v>
      </c>
      <c r="G61" s="246">
        <v>0</v>
      </c>
      <c r="H61" s="278">
        <f t="shared" si="17"/>
        <v>0</v>
      </c>
      <c r="I61" s="295"/>
    </row>
    <row r="62" spans="1:9" s="206" customFormat="1" ht="28.5" customHeight="1" x14ac:dyDescent="0.35">
      <c r="A62" s="210"/>
      <c r="B62" s="203">
        <v>6</v>
      </c>
      <c r="C62" s="237"/>
      <c r="D62" s="175" t="s">
        <v>96</v>
      </c>
      <c r="E62" s="219">
        <v>4</v>
      </c>
      <c r="F62" s="245">
        <v>0</v>
      </c>
      <c r="G62" s="246">
        <v>0</v>
      </c>
      <c r="H62" s="278">
        <f t="shared" si="17"/>
        <v>0</v>
      </c>
      <c r="I62" s="295"/>
    </row>
    <row r="63" spans="1:9" s="206" customFormat="1" ht="28.5" customHeight="1" x14ac:dyDescent="0.35">
      <c r="A63" s="210"/>
      <c r="B63" s="203">
        <v>7</v>
      </c>
      <c r="C63" s="237"/>
      <c r="D63" s="175" t="s">
        <v>97</v>
      </c>
      <c r="E63" s="219">
        <v>3</v>
      </c>
      <c r="F63" s="245">
        <v>0</v>
      </c>
      <c r="G63" s="246">
        <v>0</v>
      </c>
      <c r="H63" s="278">
        <f t="shared" si="17"/>
        <v>0</v>
      </c>
      <c r="I63" s="295"/>
    </row>
    <row r="64" spans="1:9" s="206" customFormat="1" ht="28.5" customHeight="1" x14ac:dyDescent="0.35">
      <c r="A64" s="210"/>
      <c r="B64" s="203">
        <v>8</v>
      </c>
      <c r="C64" s="237"/>
      <c r="D64" s="175" t="s">
        <v>98</v>
      </c>
      <c r="E64" s="219">
        <v>4</v>
      </c>
      <c r="F64" s="245">
        <v>0</v>
      </c>
      <c r="G64" s="246">
        <v>0</v>
      </c>
      <c r="H64" s="278">
        <f t="shared" si="17"/>
        <v>0</v>
      </c>
      <c r="I64" s="295"/>
    </row>
    <row r="65" spans="1:9" s="206" customFormat="1" ht="28.5" customHeight="1" x14ac:dyDescent="0.35">
      <c r="A65" s="210"/>
      <c r="B65" s="203">
        <v>9</v>
      </c>
      <c r="C65" s="237"/>
      <c r="D65" s="175" t="s">
        <v>99</v>
      </c>
      <c r="E65" s="219">
        <v>2</v>
      </c>
      <c r="F65" s="245">
        <v>0</v>
      </c>
      <c r="G65" s="246">
        <v>0</v>
      </c>
      <c r="H65" s="278">
        <f t="shared" si="17"/>
        <v>0</v>
      </c>
      <c r="I65" s="295"/>
    </row>
    <row r="66" spans="1:9" s="206" customFormat="1" ht="28.5" customHeight="1" x14ac:dyDescent="0.35">
      <c r="A66" s="210"/>
      <c r="B66" s="203">
        <v>10</v>
      </c>
      <c r="C66" s="237"/>
      <c r="D66" s="175" t="s">
        <v>100</v>
      </c>
      <c r="E66" s="219">
        <v>2</v>
      </c>
      <c r="F66" s="245">
        <v>0</v>
      </c>
      <c r="G66" s="246">
        <v>0</v>
      </c>
      <c r="H66" s="278">
        <f t="shared" si="17"/>
        <v>0</v>
      </c>
      <c r="I66" s="295"/>
    </row>
    <row r="67" spans="1:9" s="206" customFormat="1" ht="28.5" customHeight="1" x14ac:dyDescent="0.35">
      <c r="A67" s="220"/>
      <c r="B67" s="203">
        <v>11</v>
      </c>
      <c r="C67" s="237"/>
      <c r="D67" s="175" t="s">
        <v>101</v>
      </c>
      <c r="E67" s="219">
        <v>2</v>
      </c>
      <c r="F67" s="245">
        <v>0</v>
      </c>
      <c r="G67" s="246">
        <v>0</v>
      </c>
      <c r="H67" s="278">
        <f t="shared" si="17"/>
        <v>0</v>
      </c>
      <c r="I67" s="295"/>
    </row>
    <row r="68" spans="1:9" s="206" customFormat="1" ht="28.5" customHeight="1" x14ac:dyDescent="0.35">
      <c r="A68" s="210"/>
      <c r="B68" s="211"/>
      <c r="C68" s="238"/>
      <c r="D68" s="145">
        <v>11</v>
      </c>
      <c r="E68" s="239">
        <f>SUM(E57:E67)</f>
        <v>60</v>
      </c>
      <c r="F68" s="239">
        <f>SUM(F57:F67)</f>
        <v>1</v>
      </c>
      <c r="G68" s="239">
        <f>SUM(G57:G67)</f>
        <v>1</v>
      </c>
      <c r="H68" s="279">
        <f>G68/F68*100</f>
        <v>100</v>
      </c>
      <c r="I68" s="294"/>
    </row>
    <row r="69" spans="1:9" s="206" customFormat="1" ht="28.5" customHeight="1" x14ac:dyDescent="0.35">
      <c r="A69" s="214">
        <v>6</v>
      </c>
      <c r="B69" s="215">
        <v>1</v>
      </c>
      <c r="C69" s="216" t="s">
        <v>106</v>
      </c>
      <c r="D69" s="240" t="s">
        <v>107</v>
      </c>
      <c r="E69" s="217">
        <v>7</v>
      </c>
      <c r="F69" s="362">
        <v>232</v>
      </c>
      <c r="G69" s="363">
        <v>2</v>
      </c>
      <c r="H69" s="278">
        <f>G69/F69*100</f>
        <v>0.86206896551724133</v>
      </c>
      <c r="I69" s="295"/>
    </row>
    <row r="70" spans="1:9" s="206" customFormat="1" ht="28.5" customHeight="1" x14ac:dyDescent="0.35">
      <c r="A70" s="210"/>
      <c r="B70" s="203">
        <v>2</v>
      </c>
      <c r="C70" s="218"/>
      <c r="D70" s="228" t="s">
        <v>108</v>
      </c>
      <c r="E70" s="219">
        <v>6</v>
      </c>
      <c r="F70" s="245">
        <v>155</v>
      </c>
      <c r="G70" s="246">
        <v>1</v>
      </c>
      <c r="H70" s="278">
        <f t="shared" ref="H70:H80" si="18">G70/F70*100</f>
        <v>0.64516129032258063</v>
      </c>
      <c r="I70" s="295"/>
    </row>
    <row r="71" spans="1:9" s="206" customFormat="1" ht="28.5" customHeight="1" x14ac:dyDescent="0.35">
      <c r="A71" s="210"/>
      <c r="B71" s="203">
        <v>3</v>
      </c>
      <c r="C71" s="218"/>
      <c r="D71" s="228" t="s">
        <v>109</v>
      </c>
      <c r="E71" s="219">
        <v>4</v>
      </c>
      <c r="F71" s="245">
        <v>144</v>
      </c>
      <c r="G71" s="246">
        <v>5</v>
      </c>
      <c r="H71" s="278">
        <f t="shared" si="18"/>
        <v>3.4722222222222223</v>
      </c>
      <c r="I71" s="295"/>
    </row>
    <row r="72" spans="1:9" s="206" customFormat="1" ht="28.5" customHeight="1" x14ac:dyDescent="0.35">
      <c r="A72" s="210"/>
      <c r="B72" s="203">
        <v>4</v>
      </c>
      <c r="C72" s="218"/>
      <c r="D72" s="228" t="s">
        <v>110</v>
      </c>
      <c r="E72" s="219">
        <v>7</v>
      </c>
      <c r="F72" s="245">
        <v>278</v>
      </c>
      <c r="G72" s="246">
        <v>5</v>
      </c>
      <c r="H72" s="278">
        <f t="shared" si="18"/>
        <v>1.7985611510791366</v>
      </c>
      <c r="I72" s="295"/>
    </row>
    <row r="73" spans="1:9" s="206" customFormat="1" ht="28.5" customHeight="1" x14ac:dyDescent="0.35">
      <c r="A73" s="210"/>
      <c r="B73" s="203">
        <v>5</v>
      </c>
      <c r="C73" s="218"/>
      <c r="D73" s="228" t="s">
        <v>111</v>
      </c>
      <c r="E73" s="219">
        <v>4</v>
      </c>
      <c r="F73" s="245">
        <v>104</v>
      </c>
      <c r="G73" s="246">
        <v>1</v>
      </c>
      <c r="H73" s="278">
        <f t="shared" si="18"/>
        <v>0.96153846153846156</v>
      </c>
      <c r="I73" s="295"/>
    </row>
    <row r="74" spans="1:9" s="206" customFormat="1" ht="28.5" customHeight="1" x14ac:dyDescent="0.35">
      <c r="A74" s="210"/>
      <c r="B74" s="203">
        <v>6</v>
      </c>
      <c r="C74" s="218"/>
      <c r="D74" s="228" t="s">
        <v>112</v>
      </c>
      <c r="E74" s="219">
        <v>3</v>
      </c>
      <c r="F74" s="245">
        <v>124</v>
      </c>
      <c r="G74" s="246">
        <v>2</v>
      </c>
      <c r="H74" s="278">
        <f t="shared" si="18"/>
        <v>1.6129032258064515</v>
      </c>
      <c r="I74" s="295"/>
    </row>
    <row r="75" spans="1:9" s="206" customFormat="1" ht="28.5" customHeight="1" x14ac:dyDescent="0.35">
      <c r="A75" s="210"/>
      <c r="B75" s="203">
        <v>7</v>
      </c>
      <c r="C75" s="218"/>
      <c r="D75" s="228" t="s">
        <v>113</v>
      </c>
      <c r="E75" s="219">
        <v>4</v>
      </c>
      <c r="F75" s="245">
        <v>77</v>
      </c>
      <c r="G75" s="246">
        <v>5</v>
      </c>
      <c r="H75" s="278">
        <f t="shared" si="18"/>
        <v>6.4935064935064926</v>
      </c>
      <c r="I75" s="295"/>
    </row>
    <row r="76" spans="1:9" s="206" customFormat="1" ht="28.5" customHeight="1" x14ac:dyDescent="0.35">
      <c r="A76" s="210"/>
      <c r="B76" s="203">
        <v>8</v>
      </c>
      <c r="C76" s="218"/>
      <c r="D76" s="228" t="s">
        <v>114</v>
      </c>
      <c r="E76" s="219">
        <v>3</v>
      </c>
      <c r="F76" s="245">
        <v>29</v>
      </c>
      <c r="G76" s="246">
        <v>1</v>
      </c>
      <c r="H76" s="278">
        <f t="shared" si="18"/>
        <v>3.4482758620689653</v>
      </c>
      <c r="I76" s="295"/>
    </row>
    <row r="77" spans="1:9" s="206" customFormat="1" ht="28.5" customHeight="1" x14ac:dyDescent="0.35">
      <c r="A77" s="210"/>
      <c r="B77" s="203">
        <v>9</v>
      </c>
      <c r="C77" s="218"/>
      <c r="D77" s="228" t="s">
        <v>115</v>
      </c>
      <c r="E77" s="219">
        <v>4</v>
      </c>
      <c r="F77" s="245">
        <v>108</v>
      </c>
      <c r="G77" s="246">
        <v>1</v>
      </c>
      <c r="H77" s="278">
        <f t="shared" si="18"/>
        <v>0.92592592592592582</v>
      </c>
      <c r="I77" s="295"/>
    </row>
    <row r="78" spans="1:9" s="206" customFormat="1" ht="28.5" customHeight="1" x14ac:dyDescent="0.35">
      <c r="A78" s="210"/>
      <c r="B78" s="203">
        <v>10</v>
      </c>
      <c r="C78" s="218"/>
      <c r="D78" s="228" t="s">
        <v>116</v>
      </c>
      <c r="E78" s="219">
        <v>3</v>
      </c>
      <c r="F78" s="245">
        <v>209</v>
      </c>
      <c r="G78" s="246">
        <v>2</v>
      </c>
      <c r="H78" s="278">
        <f t="shared" si="18"/>
        <v>0.9569377990430622</v>
      </c>
      <c r="I78" s="295"/>
    </row>
    <row r="79" spans="1:9" s="206" customFormat="1" ht="28.5" customHeight="1" x14ac:dyDescent="0.35">
      <c r="A79" s="210"/>
      <c r="B79" s="203">
        <v>11</v>
      </c>
      <c r="C79" s="218"/>
      <c r="D79" s="228" t="s">
        <v>117</v>
      </c>
      <c r="E79" s="219">
        <v>4</v>
      </c>
      <c r="F79" s="245">
        <v>104</v>
      </c>
      <c r="G79" s="246">
        <v>1</v>
      </c>
      <c r="H79" s="278">
        <f t="shared" si="18"/>
        <v>0.96153846153846156</v>
      </c>
      <c r="I79" s="295"/>
    </row>
    <row r="80" spans="1:9" s="206" customFormat="1" ht="28.5" customHeight="1" x14ac:dyDescent="0.35">
      <c r="A80" s="220"/>
      <c r="B80" s="241">
        <v>12</v>
      </c>
      <c r="C80" s="242"/>
      <c r="D80" s="228" t="s">
        <v>118</v>
      </c>
      <c r="E80" s="219">
        <v>3</v>
      </c>
      <c r="F80" s="245">
        <v>97</v>
      </c>
      <c r="G80" s="246">
        <v>1</v>
      </c>
      <c r="H80" s="278">
        <f t="shared" si="18"/>
        <v>1.0309278350515463</v>
      </c>
      <c r="I80" s="295"/>
    </row>
    <row r="81" spans="1:9" ht="28.5" customHeight="1" x14ac:dyDescent="0.35">
      <c r="A81" s="82"/>
      <c r="B81" s="102"/>
      <c r="C81" s="92"/>
      <c r="D81" s="91">
        <v>12</v>
      </c>
      <c r="E81" s="101">
        <f>SUM(E69:E80)</f>
        <v>52</v>
      </c>
      <c r="F81" s="101">
        <f>SUM(F69:F80)</f>
        <v>1661</v>
      </c>
      <c r="G81" s="101">
        <f>SUM(G69:G80)</f>
        <v>27</v>
      </c>
      <c r="H81" s="277">
        <f>G81/F81*100</f>
        <v>1.6255267910897049</v>
      </c>
      <c r="I81" s="296"/>
    </row>
    <row r="82" spans="1:9" s="206" customFormat="1" ht="28.5" customHeight="1" x14ac:dyDescent="0.35">
      <c r="A82" s="214">
        <v>7</v>
      </c>
      <c r="B82" s="203">
        <v>1</v>
      </c>
      <c r="C82" s="218" t="s">
        <v>120</v>
      </c>
      <c r="D82" s="243" t="s">
        <v>230</v>
      </c>
      <c r="E82" s="85">
        <v>4</v>
      </c>
      <c r="F82" s="405">
        <v>0</v>
      </c>
      <c r="G82" s="229">
        <v>0</v>
      </c>
      <c r="H82" s="278" t="e">
        <f t="shared" ref="H82:H90" si="19">G82/F82*100</f>
        <v>#DIV/0!</v>
      </c>
      <c r="I82" s="295"/>
    </row>
    <row r="83" spans="1:9" s="206" customFormat="1" ht="28.5" customHeight="1" x14ac:dyDescent="0.35">
      <c r="A83" s="210"/>
      <c r="B83" s="203">
        <v>2</v>
      </c>
      <c r="C83" s="218"/>
      <c r="D83" s="244" t="s">
        <v>231</v>
      </c>
      <c r="E83" s="85">
        <v>1</v>
      </c>
      <c r="F83" s="405">
        <v>0</v>
      </c>
      <c r="G83" s="229">
        <v>0</v>
      </c>
      <c r="H83" s="278" t="e">
        <f t="shared" si="19"/>
        <v>#DIV/0!</v>
      </c>
      <c r="I83" s="295"/>
    </row>
    <row r="84" spans="1:9" s="206" customFormat="1" ht="28.5" customHeight="1" x14ac:dyDescent="0.35">
      <c r="A84" s="210"/>
      <c r="B84" s="203">
        <v>3</v>
      </c>
      <c r="C84" s="218"/>
      <c r="D84" s="244" t="s">
        <v>232</v>
      </c>
      <c r="E84" s="85">
        <v>6</v>
      </c>
      <c r="F84" s="406">
        <v>0</v>
      </c>
      <c r="G84" s="230">
        <v>0</v>
      </c>
      <c r="H84" s="278" t="e">
        <f t="shared" si="19"/>
        <v>#DIV/0!</v>
      </c>
      <c r="I84" s="295"/>
    </row>
    <row r="85" spans="1:9" s="206" customFormat="1" ht="28.5" customHeight="1" x14ac:dyDescent="0.35">
      <c r="A85" s="210"/>
      <c r="B85" s="203">
        <v>4</v>
      </c>
      <c r="C85" s="218"/>
      <c r="D85" s="244" t="s">
        <v>233</v>
      </c>
      <c r="E85" s="85">
        <v>2</v>
      </c>
      <c r="F85" s="405">
        <v>0</v>
      </c>
      <c r="G85" s="229">
        <v>0</v>
      </c>
      <c r="H85" s="278" t="e">
        <f t="shared" si="19"/>
        <v>#DIV/0!</v>
      </c>
      <c r="I85" s="295"/>
    </row>
    <row r="86" spans="1:9" s="206" customFormat="1" ht="28.5" customHeight="1" x14ac:dyDescent="0.35">
      <c r="A86" s="210"/>
      <c r="B86" s="203">
        <v>5</v>
      </c>
      <c r="C86" s="218"/>
      <c r="D86" s="244" t="s">
        <v>234</v>
      </c>
      <c r="E86" s="85">
        <v>3</v>
      </c>
      <c r="F86" s="405">
        <v>0</v>
      </c>
      <c r="G86" s="229">
        <v>0</v>
      </c>
      <c r="H86" s="278" t="e">
        <f t="shared" si="19"/>
        <v>#DIV/0!</v>
      </c>
      <c r="I86" s="295"/>
    </row>
    <row r="87" spans="1:9" s="206" customFormat="1" ht="28.5" customHeight="1" x14ac:dyDescent="0.35">
      <c r="A87" s="210"/>
      <c r="B87" s="203">
        <v>6</v>
      </c>
      <c r="C87" s="218"/>
      <c r="D87" s="244" t="s">
        <v>235</v>
      </c>
      <c r="E87" s="85">
        <v>4</v>
      </c>
      <c r="F87" s="405">
        <v>0</v>
      </c>
      <c r="G87" s="229">
        <v>0</v>
      </c>
      <c r="H87" s="278" t="e">
        <f t="shared" si="19"/>
        <v>#DIV/0!</v>
      </c>
      <c r="I87" s="295"/>
    </row>
    <row r="88" spans="1:9" s="206" customFormat="1" ht="28.5" customHeight="1" x14ac:dyDescent="0.35">
      <c r="A88" s="210"/>
      <c r="B88" s="203">
        <v>7</v>
      </c>
      <c r="C88" s="218"/>
      <c r="D88" s="244" t="s">
        <v>236</v>
      </c>
      <c r="E88" s="245">
        <v>2</v>
      </c>
      <c r="F88" s="407">
        <v>0</v>
      </c>
      <c r="G88" s="246">
        <v>0</v>
      </c>
      <c r="H88" s="278" t="e">
        <f t="shared" si="19"/>
        <v>#DIV/0!</v>
      </c>
      <c r="I88" s="295"/>
    </row>
    <row r="89" spans="1:9" s="206" customFormat="1" ht="28.5" customHeight="1" x14ac:dyDescent="0.35">
      <c r="A89" s="210"/>
      <c r="B89" s="203">
        <v>8</v>
      </c>
      <c r="C89" s="218"/>
      <c r="D89" s="244" t="s">
        <v>237</v>
      </c>
      <c r="E89" s="245">
        <v>4</v>
      </c>
      <c r="F89" s="408">
        <v>0</v>
      </c>
      <c r="G89" s="247">
        <v>0</v>
      </c>
      <c r="H89" s="278" t="e">
        <f t="shared" si="19"/>
        <v>#DIV/0!</v>
      </c>
      <c r="I89" s="295"/>
    </row>
    <row r="90" spans="1:9" s="206" customFormat="1" ht="28.5" customHeight="1" x14ac:dyDescent="0.35">
      <c r="A90" s="220"/>
      <c r="B90" s="203">
        <v>9</v>
      </c>
      <c r="C90" s="218"/>
      <c r="D90" s="248" t="s">
        <v>238</v>
      </c>
      <c r="E90" s="249">
        <v>4</v>
      </c>
      <c r="F90" s="409">
        <v>0</v>
      </c>
      <c r="G90" s="250">
        <v>0</v>
      </c>
      <c r="H90" s="300" t="e">
        <f t="shared" si="19"/>
        <v>#DIV/0!</v>
      </c>
      <c r="I90" s="295"/>
    </row>
    <row r="91" spans="1:9" s="206" customFormat="1" ht="28.5" customHeight="1" x14ac:dyDescent="0.35">
      <c r="A91" s="210"/>
      <c r="B91" s="138"/>
      <c r="C91" s="251" t="s">
        <v>191</v>
      </c>
      <c r="D91" s="252">
        <v>9</v>
      </c>
      <c r="E91" s="105">
        <f>SUM(E82:E90)</f>
        <v>30</v>
      </c>
      <c r="F91" s="410">
        <f>SUM(F82:F90)</f>
        <v>0</v>
      </c>
      <c r="G91" s="105">
        <f>SUM(G82:G90)</f>
        <v>0</v>
      </c>
      <c r="H91" s="280"/>
      <c r="I91" s="295"/>
    </row>
    <row r="92" spans="1:9" s="206" customFormat="1" ht="28.5" customHeight="1" x14ac:dyDescent="0.35">
      <c r="A92" s="214">
        <v>8</v>
      </c>
      <c r="B92" s="215">
        <v>1</v>
      </c>
      <c r="C92" s="216" t="s">
        <v>127</v>
      </c>
      <c r="D92" s="216" t="s">
        <v>128</v>
      </c>
      <c r="E92" s="253">
        <v>6</v>
      </c>
      <c r="F92" s="215">
        <v>1</v>
      </c>
      <c r="G92" s="243">
        <v>1</v>
      </c>
      <c r="H92" s="281">
        <f>G92/F92*100</f>
        <v>100</v>
      </c>
      <c r="I92" s="295"/>
    </row>
    <row r="93" spans="1:9" s="206" customFormat="1" ht="28.5" customHeight="1" x14ac:dyDescent="0.35">
      <c r="A93" s="210"/>
      <c r="B93" s="203">
        <v>2</v>
      </c>
      <c r="C93" s="218"/>
      <c r="D93" s="218" t="s">
        <v>129</v>
      </c>
      <c r="E93" s="254">
        <v>3</v>
      </c>
      <c r="F93" s="203">
        <v>0</v>
      </c>
      <c r="G93" s="244">
        <v>0</v>
      </c>
      <c r="H93" s="281" t="e">
        <f t="shared" ref="H93:H100" si="20">G93/F93*100</f>
        <v>#DIV/0!</v>
      </c>
      <c r="I93" s="295"/>
    </row>
    <row r="94" spans="1:9" s="206" customFormat="1" ht="28.5" customHeight="1" x14ac:dyDescent="0.35">
      <c r="A94" s="210"/>
      <c r="B94" s="203">
        <v>3</v>
      </c>
      <c r="C94" s="218"/>
      <c r="D94" s="218" t="s">
        <v>130</v>
      </c>
      <c r="E94" s="254">
        <v>5</v>
      </c>
      <c r="F94" s="203">
        <v>1</v>
      </c>
      <c r="G94" s="244">
        <v>1</v>
      </c>
      <c r="H94" s="281">
        <f>G94/F94*100</f>
        <v>100</v>
      </c>
      <c r="I94" s="295"/>
    </row>
    <row r="95" spans="1:9" s="206" customFormat="1" ht="28.5" customHeight="1" x14ac:dyDescent="0.35">
      <c r="A95" s="210"/>
      <c r="B95" s="203">
        <v>4</v>
      </c>
      <c r="C95" s="218"/>
      <c r="D95" s="218" t="s">
        <v>131</v>
      </c>
      <c r="E95" s="254">
        <v>4</v>
      </c>
      <c r="F95" s="203">
        <v>0</v>
      </c>
      <c r="G95" s="244">
        <v>0</v>
      </c>
      <c r="H95" s="281" t="e">
        <f t="shared" si="20"/>
        <v>#DIV/0!</v>
      </c>
      <c r="I95" s="295"/>
    </row>
    <row r="96" spans="1:9" s="206" customFormat="1" ht="28.5" customHeight="1" x14ac:dyDescent="0.35">
      <c r="A96" s="210"/>
      <c r="B96" s="203">
        <v>5</v>
      </c>
      <c r="C96" s="218"/>
      <c r="D96" s="218" t="s">
        <v>132</v>
      </c>
      <c r="E96" s="254">
        <v>5</v>
      </c>
      <c r="F96" s="203">
        <v>0</v>
      </c>
      <c r="G96" s="244">
        <v>0</v>
      </c>
      <c r="H96" s="281" t="e">
        <f t="shared" si="20"/>
        <v>#DIV/0!</v>
      </c>
      <c r="I96" s="295"/>
    </row>
    <row r="97" spans="1:13" s="206" customFormat="1" ht="28.5" customHeight="1" x14ac:dyDescent="0.35">
      <c r="A97" s="210"/>
      <c r="B97" s="203">
        <v>6</v>
      </c>
      <c r="C97" s="218"/>
      <c r="D97" s="218" t="s">
        <v>133</v>
      </c>
      <c r="E97" s="254">
        <v>7</v>
      </c>
      <c r="F97" s="203">
        <v>2</v>
      </c>
      <c r="G97" s="244">
        <v>2</v>
      </c>
      <c r="H97" s="281">
        <f t="shared" si="20"/>
        <v>100</v>
      </c>
      <c r="I97" s="295"/>
    </row>
    <row r="98" spans="1:13" s="206" customFormat="1" ht="28.5" customHeight="1" x14ac:dyDescent="0.35">
      <c r="A98" s="210"/>
      <c r="B98" s="203">
        <v>7</v>
      </c>
      <c r="C98" s="218"/>
      <c r="D98" s="218" t="s">
        <v>134</v>
      </c>
      <c r="E98" s="254">
        <v>5</v>
      </c>
      <c r="F98" s="203">
        <v>0</v>
      </c>
      <c r="G98" s="244">
        <v>0</v>
      </c>
      <c r="H98" s="281" t="e">
        <f t="shared" si="20"/>
        <v>#DIV/0!</v>
      </c>
      <c r="I98" s="295"/>
    </row>
    <row r="99" spans="1:13" s="206" customFormat="1" ht="28.5" customHeight="1" x14ac:dyDescent="0.35">
      <c r="A99" s="210"/>
      <c r="B99" s="203">
        <v>8</v>
      </c>
      <c r="C99" s="218"/>
      <c r="D99" s="218" t="s">
        <v>135</v>
      </c>
      <c r="E99" s="254">
        <v>12</v>
      </c>
      <c r="F99" s="203">
        <v>1</v>
      </c>
      <c r="G99" s="244">
        <v>1</v>
      </c>
      <c r="H99" s="281">
        <f t="shared" si="20"/>
        <v>100</v>
      </c>
      <c r="I99" s="295"/>
    </row>
    <row r="100" spans="1:13" s="206" customFormat="1" ht="28.5" customHeight="1" x14ac:dyDescent="0.35">
      <c r="A100" s="220"/>
      <c r="B100" s="203">
        <v>9</v>
      </c>
      <c r="C100" s="218"/>
      <c r="D100" s="218" t="s">
        <v>136</v>
      </c>
      <c r="E100" s="254">
        <v>5</v>
      </c>
      <c r="F100" s="203">
        <v>2</v>
      </c>
      <c r="G100" s="244">
        <v>2</v>
      </c>
      <c r="H100" s="281">
        <f t="shared" si="20"/>
        <v>100</v>
      </c>
      <c r="I100" s="295"/>
    </row>
    <row r="101" spans="1:13" s="206" customFormat="1" ht="28.5" customHeight="1" x14ac:dyDescent="0.35">
      <c r="A101" s="210"/>
      <c r="B101" s="211"/>
      <c r="C101" s="212"/>
      <c r="D101" s="213">
        <v>9</v>
      </c>
      <c r="E101" s="239">
        <f>SUM(E92:E100)</f>
        <v>52</v>
      </c>
      <c r="F101" s="239">
        <f>SUM(F92:F100)</f>
        <v>7</v>
      </c>
      <c r="G101" s="239">
        <f>SUM(G92:G100)</f>
        <v>7</v>
      </c>
      <c r="H101" s="279">
        <f>G101/F101*100</f>
        <v>100</v>
      </c>
      <c r="I101" s="294"/>
    </row>
    <row r="102" spans="1:13" s="206" customFormat="1" ht="28.5" customHeight="1" x14ac:dyDescent="0.35">
      <c r="A102" s="202">
        <v>9</v>
      </c>
      <c r="B102" s="215">
        <v>1</v>
      </c>
      <c r="C102" s="216" t="s">
        <v>137</v>
      </c>
      <c r="D102" s="364" t="s">
        <v>138</v>
      </c>
      <c r="E102" s="369">
        <v>11</v>
      </c>
      <c r="F102" s="367">
        <v>0</v>
      </c>
      <c r="G102" s="255">
        <v>0</v>
      </c>
      <c r="H102" s="278" t="e">
        <f>G102/F102*100</f>
        <v>#DIV/0!</v>
      </c>
      <c r="I102" s="295"/>
      <c r="K102" s="206" t="s">
        <v>241</v>
      </c>
    </row>
    <row r="103" spans="1:13" s="206" customFormat="1" ht="28.5" customHeight="1" x14ac:dyDescent="0.35">
      <c r="A103" s="207"/>
      <c r="B103" s="203">
        <v>2</v>
      </c>
      <c r="C103" s="218"/>
      <c r="D103" s="365" t="s">
        <v>139</v>
      </c>
      <c r="E103" s="370">
        <v>5</v>
      </c>
      <c r="F103" s="368">
        <v>0</v>
      </c>
      <c r="G103" s="256">
        <v>0</v>
      </c>
      <c r="H103" s="278" t="e">
        <f t="shared" ref="H103:H114" si="21">G103/F103*100</f>
        <v>#DIV/0!</v>
      </c>
      <c r="I103" s="295"/>
      <c r="L103" s="206" t="s">
        <v>242</v>
      </c>
      <c r="M103" s="206" t="s">
        <v>243</v>
      </c>
    </row>
    <row r="104" spans="1:13" s="206" customFormat="1" ht="28.5" customHeight="1" x14ac:dyDescent="0.35">
      <c r="A104" s="207"/>
      <c r="B104" s="203">
        <v>3</v>
      </c>
      <c r="C104" s="218"/>
      <c r="D104" s="365" t="s">
        <v>140</v>
      </c>
      <c r="E104" s="371">
        <v>4</v>
      </c>
      <c r="F104" s="368">
        <v>0</v>
      </c>
      <c r="G104" s="256">
        <v>0</v>
      </c>
      <c r="H104" s="278" t="e">
        <f t="shared" si="21"/>
        <v>#DIV/0!</v>
      </c>
      <c r="I104" s="295"/>
    </row>
    <row r="105" spans="1:13" s="206" customFormat="1" ht="28.5" customHeight="1" x14ac:dyDescent="0.35">
      <c r="A105" s="207"/>
      <c r="B105" s="203">
        <v>4</v>
      </c>
      <c r="C105" s="218"/>
      <c r="D105" s="365" t="s">
        <v>141</v>
      </c>
      <c r="E105" s="371">
        <v>4</v>
      </c>
      <c r="F105" s="368">
        <v>0</v>
      </c>
      <c r="G105" s="257">
        <v>0</v>
      </c>
      <c r="H105" s="278" t="e">
        <f t="shared" si="21"/>
        <v>#DIV/0!</v>
      </c>
      <c r="I105" s="295"/>
    </row>
    <row r="106" spans="1:13" s="206" customFormat="1" ht="28.5" customHeight="1" x14ac:dyDescent="0.35">
      <c r="A106" s="207"/>
      <c r="B106" s="203">
        <v>5</v>
      </c>
      <c r="C106" s="218"/>
      <c r="D106" s="365" t="s">
        <v>142</v>
      </c>
      <c r="E106" s="370">
        <v>4</v>
      </c>
      <c r="F106" s="368">
        <v>0</v>
      </c>
      <c r="G106" s="256">
        <v>0</v>
      </c>
      <c r="H106" s="278" t="e">
        <f t="shared" si="21"/>
        <v>#DIV/0!</v>
      </c>
      <c r="I106" s="295"/>
    </row>
    <row r="107" spans="1:13" s="206" customFormat="1" ht="28.5" customHeight="1" x14ac:dyDescent="0.35">
      <c r="A107" s="207"/>
      <c r="B107" s="203">
        <v>6</v>
      </c>
      <c r="C107" s="218"/>
      <c r="D107" s="365" t="s">
        <v>143</v>
      </c>
      <c r="E107" s="370">
        <v>4</v>
      </c>
      <c r="F107" s="368">
        <v>0</v>
      </c>
      <c r="G107" s="256">
        <v>0</v>
      </c>
      <c r="H107" s="278" t="e">
        <f t="shared" si="21"/>
        <v>#DIV/0!</v>
      </c>
      <c r="I107" s="295"/>
    </row>
    <row r="108" spans="1:13" s="206" customFormat="1" ht="28.5" customHeight="1" x14ac:dyDescent="0.35">
      <c r="A108" s="207"/>
      <c r="B108" s="203">
        <v>7</v>
      </c>
      <c r="C108" s="218"/>
      <c r="D108" s="365" t="s">
        <v>144</v>
      </c>
      <c r="E108" s="371">
        <v>15</v>
      </c>
      <c r="F108" s="368">
        <v>0</v>
      </c>
      <c r="G108" s="256">
        <v>0</v>
      </c>
      <c r="H108" s="278" t="e">
        <f t="shared" si="21"/>
        <v>#DIV/0!</v>
      </c>
      <c r="I108" s="295"/>
    </row>
    <row r="109" spans="1:13" s="206" customFormat="1" ht="28.5" customHeight="1" x14ac:dyDescent="0.35">
      <c r="A109" s="207"/>
      <c r="B109" s="203">
        <v>8</v>
      </c>
      <c r="C109" s="218"/>
      <c r="D109" s="365" t="s">
        <v>145</v>
      </c>
      <c r="E109" s="370">
        <v>2</v>
      </c>
      <c r="F109" s="368">
        <v>0</v>
      </c>
      <c r="G109" s="256">
        <v>0</v>
      </c>
      <c r="H109" s="278" t="e">
        <f t="shared" si="21"/>
        <v>#DIV/0!</v>
      </c>
      <c r="I109" s="295"/>
    </row>
    <row r="110" spans="1:13" s="206" customFormat="1" ht="28.5" customHeight="1" x14ac:dyDescent="0.35">
      <c r="A110" s="207"/>
      <c r="B110" s="203">
        <v>9</v>
      </c>
      <c r="C110" s="218"/>
      <c r="D110" s="365" t="s">
        <v>146</v>
      </c>
      <c r="E110" s="370">
        <v>3</v>
      </c>
      <c r="F110" s="368">
        <v>0</v>
      </c>
      <c r="G110" s="256">
        <v>0</v>
      </c>
      <c r="H110" s="278" t="e">
        <f t="shared" si="21"/>
        <v>#DIV/0!</v>
      </c>
      <c r="I110" s="295"/>
    </row>
    <row r="111" spans="1:13" s="206" customFormat="1" ht="28.5" customHeight="1" x14ac:dyDescent="0.35">
      <c r="A111" s="207"/>
      <c r="B111" s="203">
        <v>10</v>
      </c>
      <c r="C111" s="218"/>
      <c r="D111" s="365" t="s">
        <v>147</v>
      </c>
      <c r="E111" s="370">
        <v>2</v>
      </c>
      <c r="F111" s="368">
        <v>0</v>
      </c>
      <c r="G111" s="256">
        <v>0</v>
      </c>
      <c r="H111" s="278" t="e">
        <f t="shared" si="21"/>
        <v>#DIV/0!</v>
      </c>
      <c r="I111" s="295"/>
    </row>
    <row r="112" spans="1:13" s="206" customFormat="1" ht="28.5" customHeight="1" x14ac:dyDescent="0.35">
      <c r="A112" s="207"/>
      <c r="B112" s="203">
        <v>11</v>
      </c>
      <c r="C112" s="218"/>
      <c r="D112" s="365" t="s">
        <v>148</v>
      </c>
      <c r="E112" s="370">
        <v>9</v>
      </c>
      <c r="F112" s="368">
        <v>0</v>
      </c>
      <c r="G112" s="256">
        <v>0</v>
      </c>
      <c r="H112" s="278" t="e">
        <f t="shared" si="21"/>
        <v>#DIV/0!</v>
      </c>
      <c r="I112" s="295"/>
    </row>
    <row r="113" spans="1:9" s="206" customFormat="1" ht="28.5" customHeight="1" x14ac:dyDescent="0.35">
      <c r="A113" s="207"/>
      <c r="B113" s="203">
        <v>12</v>
      </c>
      <c r="C113" s="218"/>
      <c r="D113" s="365" t="s">
        <v>149</v>
      </c>
      <c r="E113" s="371">
        <v>8</v>
      </c>
      <c r="F113" s="368">
        <v>1</v>
      </c>
      <c r="G113" s="256">
        <v>1</v>
      </c>
      <c r="H113" s="278">
        <f t="shared" si="21"/>
        <v>100</v>
      </c>
      <c r="I113" s="295"/>
    </row>
    <row r="114" spans="1:9" s="206" customFormat="1" ht="28.5" customHeight="1" thickBot="1" x14ac:dyDescent="0.4">
      <c r="A114" s="258"/>
      <c r="B114" s="241">
        <v>13</v>
      </c>
      <c r="C114" s="242"/>
      <c r="D114" s="366" t="s">
        <v>150</v>
      </c>
      <c r="E114" s="372">
        <v>4</v>
      </c>
      <c r="F114" s="368">
        <v>0</v>
      </c>
      <c r="G114" s="256">
        <v>0</v>
      </c>
      <c r="H114" s="278" t="e">
        <f t="shared" si="21"/>
        <v>#DIV/0!</v>
      </c>
      <c r="I114" s="295"/>
    </row>
    <row r="115" spans="1:9" s="206" customFormat="1" ht="28.5" customHeight="1" x14ac:dyDescent="0.35">
      <c r="A115" s="207"/>
      <c r="B115" s="259"/>
      <c r="C115" s="260"/>
      <c r="D115" s="261">
        <v>13</v>
      </c>
      <c r="E115" s="262">
        <f>SUM(E102:E114)</f>
        <v>75</v>
      </c>
      <c r="F115" s="262">
        <f>SUM(F102:F114)</f>
        <v>1</v>
      </c>
      <c r="G115" s="262">
        <f>SUM(G102:G114)</f>
        <v>1</v>
      </c>
      <c r="H115" s="282">
        <f>G115/F115*100</f>
        <v>100</v>
      </c>
      <c r="I115" s="294"/>
    </row>
    <row r="116" spans="1:9" s="206" customFormat="1" ht="28.5" customHeight="1" x14ac:dyDescent="0.35">
      <c r="A116" s="202">
        <v>10</v>
      </c>
      <c r="B116" s="263">
        <v>1</v>
      </c>
      <c r="C116" s="263" t="s">
        <v>152</v>
      </c>
      <c r="D116" s="264" t="s">
        <v>180</v>
      </c>
      <c r="E116" s="265">
        <v>0</v>
      </c>
      <c r="F116" s="373">
        <v>0</v>
      </c>
      <c r="G116" s="374">
        <v>0</v>
      </c>
      <c r="H116" s="301" t="e">
        <f>G116/F116*100</f>
        <v>#DIV/0!</v>
      </c>
      <c r="I116" s="295"/>
    </row>
    <row r="117" spans="1:9" s="206" customFormat="1" ht="28.5" customHeight="1" x14ac:dyDescent="0.35">
      <c r="A117" s="207"/>
      <c r="B117" s="263">
        <v>2</v>
      </c>
      <c r="C117" s="266"/>
      <c r="D117" s="264" t="s">
        <v>181</v>
      </c>
      <c r="E117" s="265">
        <v>0</v>
      </c>
      <c r="F117" s="373">
        <v>0</v>
      </c>
      <c r="G117" s="374">
        <v>0</v>
      </c>
      <c r="H117" s="301" t="e">
        <f t="shared" ref="H117:H126" si="22">G117/F117*100</f>
        <v>#DIV/0!</v>
      </c>
      <c r="I117" s="295" t="s">
        <v>245</v>
      </c>
    </row>
    <row r="118" spans="1:9" s="206" customFormat="1" ht="28.5" customHeight="1" x14ac:dyDescent="0.35">
      <c r="A118" s="207"/>
      <c r="B118" s="263">
        <v>3</v>
      </c>
      <c r="C118" s="266"/>
      <c r="D118" s="264" t="s">
        <v>182</v>
      </c>
      <c r="E118" s="265">
        <v>1</v>
      </c>
      <c r="F118" s="373">
        <v>1</v>
      </c>
      <c r="G118" s="374">
        <v>1</v>
      </c>
      <c r="H118" s="301">
        <f t="shared" si="22"/>
        <v>100</v>
      </c>
      <c r="I118" s="295" t="s">
        <v>244</v>
      </c>
    </row>
    <row r="119" spans="1:9" s="206" customFormat="1" ht="28.5" customHeight="1" x14ac:dyDescent="0.35">
      <c r="A119" s="207"/>
      <c r="B119" s="263">
        <v>4</v>
      </c>
      <c r="C119" s="266"/>
      <c r="D119" s="264" t="s">
        <v>183</v>
      </c>
      <c r="E119" s="265">
        <v>0</v>
      </c>
      <c r="F119" s="373">
        <v>0</v>
      </c>
      <c r="G119" s="374">
        <v>0</v>
      </c>
      <c r="H119" s="301" t="e">
        <f t="shared" si="22"/>
        <v>#DIV/0!</v>
      </c>
      <c r="I119" s="295" t="s">
        <v>246</v>
      </c>
    </row>
    <row r="120" spans="1:9" s="206" customFormat="1" ht="28.5" customHeight="1" x14ac:dyDescent="0.35">
      <c r="A120" s="207"/>
      <c r="B120" s="263">
        <v>5</v>
      </c>
      <c r="C120" s="266"/>
      <c r="D120" s="264" t="s">
        <v>184</v>
      </c>
      <c r="E120" s="265">
        <v>126</v>
      </c>
      <c r="F120" s="373">
        <v>0</v>
      </c>
      <c r="G120" s="374">
        <v>0</v>
      </c>
      <c r="H120" s="301" t="e">
        <f t="shared" si="22"/>
        <v>#DIV/0!</v>
      </c>
      <c r="I120" s="295"/>
    </row>
    <row r="121" spans="1:9" s="206" customFormat="1" ht="28.5" customHeight="1" x14ac:dyDescent="0.35">
      <c r="A121" s="207"/>
      <c r="B121" s="263">
        <v>6</v>
      </c>
      <c r="C121" s="266"/>
      <c r="D121" s="264" t="s">
        <v>152</v>
      </c>
      <c r="E121" s="265">
        <v>429</v>
      </c>
      <c r="F121" s="373">
        <v>1</v>
      </c>
      <c r="G121" s="374">
        <v>1</v>
      </c>
      <c r="H121" s="301">
        <f t="shared" si="22"/>
        <v>100</v>
      </c>
      <c r="I121" s="295"/>
    </row>
    <row r="122" spans="1:9" s="206" customFormat="1" ht="28.5" customHeight="1" x14ac:dyDescent="0.35">
      <c r="A122" s="207"/>
      <c r="B122" s="263">
        <v>7</v>
      </c>
      <c r="C122" s="266"/>
      <c r="D122" s="264" t="s">
        <v>185</v>
      </c>
      <c r="E122" s="265">
        <v>196</v>
      </c>
      <c r="F122" s="373">
        <v>0</v>
      </c>
      <c r="G122" s="374">
        <v>0</v>
      </c>
      <c r="H122" s="301" t="e">
        <f t="shared" si="22"/>
        <v>#DIV/0!</v>
      </c>
      <c r="I122" s="295" t="s">
        <v>248</v>
      </c>
    </row>
    <row r="123" spans="1:9" s="206" customFormat="1" ht="28.5" customHeight="1" x14ac:dyDescent="0.35">
      <c r="A123" s="207"/>
      <c r="B123" s="263">
        <v>8</v>
      </c>
      <c r="C123" s="266"/>
      <c r="D123" s="264" t="s">
        <v>186</v>
      </c>
      <c r="E123" s="265">
        <v>131</v>
      </c>
      <c r="F123" s="375">
        <v>0</v>
      </c>
      <c r="G123" s="374">
        <v>0</v>
      </c>
      <c r="H123" s="301" t="e">
        <f>G123/F123*100</f>
        <v>#DIV/0!</v>
      </c>
      <c r="I123" s="295" t="s">
        <v>247</v>
      </c>
    </row>
    <row r="124" spans="1:9" s="206" customFormat="1" ht="28.5" customHeight="1" x14ac:dyDescent="0.35">
      <c r="A124" s="207"/>
      <c r="B124" s="263">
        <v>9</v>
      </c>
      <c r="C124" s="266"/>
      <c r="D124" s="264" t="s">
        <v>187</v>
      </c>
      <c r="E124" s="265">
        <v>74</v>
      </c>
      <c r="F124" s="373">
        <v>0</v>
      </c>
      <c r="G124" s="374">
        <v>0</v>
      </c>
      <c r="H124" s="301" t="e">
        <f t="shared" si="22"/>
        <v>#DIV/0!</v>
      </c>
      <c r="I124" s="295" t="s">
        <v>249</v>
      </c>
    </row>
    <row r="125" spans="1:9" s="206" customFormat="1" ht="28.5" customHeight="1" x14ac:dyDescent="0.35">
      <c r="A125" s="207"/>
      <c r="B125" s="263">
        <v>10</v>
      </c>
      <c r="C125" s="266"/>
      <c r="D125" s="264" t="s">
        <v>188</v>
      </c>
      <c r="E125" s="265">
        <v>157</v>
      </c>
      <c r="F125" s="373">
        <v>0</v>
      </c>
      <c r="G125" s="374">
        <v>0</v>
      </c>
      <c r="H125" s="301" t="e">
        <f t="shared" si="22"/>
        <v>#DIV/0!</v>
      </c>
      <c r="I125" s="295" t="s">
        <v>249</v>
      </c>
    </row>
    <row r="126" spans="1:9" s="206" customFormat="1" ht="28.5" customHeight="1" x14ac:dyDescent="0.35">
      <c r="A126" s="207"/>
      <c r="B126" s="263">
        <v>11</v>
      </c>
      <c r="C126" s="266"/>
      <c r="D126" s="264" t="s">
        <v>189</v>
      </c>
      <c r="E126" s="265">
        <v>122</v>
      </c>
      <c r="F126" s="373">
        <v>0</v>
      </c>
      <c r="G126" s="374">
        <v>0</v>
      </c>
      <c r="H126" s="301" t="e">
        <f t="shared" si="22"/>
        <v>#DIV/0!</v>
      </c>
      <c r="I126" s="295" t="s">
        <v>249</v>
      </c>
    </row>
    <row r="127" spans="1:9" s="13" customFormat="1" ht="28.5" customHeight="1" x14ac:dyDescent="0.35">
      <c r="A127" s="43"/>
      <c r="B127" s="143"/>
      <c r="C127" s="91"/>
      <c r="D127" s="91">
        <v>11</v>
      </c>
      <c r="E127" s="91">
        <f>SUM(E116:E126)</f>
        <v>1236</v>
      </c>
      <c r="F127" s="91">
        <f>SUM(F116:F126)</f>
        <v>2</v>
      </c>
      <c r="G127" s="91">
        <f>SUM(G116:G126)</f>
        <v>2</v>
      </c>
      <c r="H127" s="283">
        <f>G127/F127*100</f>
        <v>100</v>
      </c>
      <c r="I127" s="297"/>
    </row>
    <row r="128" spans="1:9" ht="28.5" customHeight="1" x14ac:dyDescent="0.35">
      <c r="A128" s="267">
        <v>11</v>
      </c>
      <c r="B128" s="182">
        <v>1</v>
      </c>
      <c r="C128" s="183" t="s">
        <v>167</v>
      </c>
      <c r="D128" s="184" t="s">
        <v>168</v>
      </c>
      <c r="E128" s="185">
        <v>9</v>
      </c>
      <c r="F128" s="186">
        <v>1</v>
      </c>
      <c r="G128" s="187">
        <v>1</v>
      </c>
      <c r="H128" s="284">
        <f>G128/F128*100</f>
        <v>100</v>
      </c>
      <c r="I128" s="298"/>
    </row>
    <row r="129" spans="1:9" ht="28.5" customHeight="1" x14ac:dyDescent="0.35">
      <c r="A129" s="82"/>
      <c r="B129" s="182">
        <v>2</v>
      </c>
      <c r="C129" s="188"/>
      <c r="D129" s="189" t="s">
        <v>169</v>
      </c>
      <c r="E129" s="190">
        <v>2</v>
      </c>
      <c r="F129" s="191">
        <v>0</v>
      </c>
      <c r="G129" s="192">
        <v>0</v>
      </c>
      <c r="H129" s="285" t="e">
        <f t="shared" ref="H129:H137" si="23">G129/F129*100</f>
        <v>#DIV/0!</v>
      </c>
      <c r="I129" s="298"/>
    </row>
    <row r="130" spans="1:9" ht="28.5" customHeight="1" x14ac:dyDescent="0.35">
      <c r="A130" s="82"/>
      <c r="B130" s="182">
        <v>3</v>
      </c>
      <c r="C130" s="188"/>
      <c r="D130" s="189" t="s">
        <v>170</v>
      </c>
      <c r="E130" s="190">
        <v>2</v>
      </c>
      <c r="F130" s="191">
        <v>0</v>
      </c>
      <c r="G130" s="192">
        <v>0</v>
      </c>
      <c r="H130" s="285" t="e">
        <f t="shared" si="23"/>
        <v>#DIV/0!</v>
      </c>
      <c r="I130" s="298"/>
    </row>
    <row r="131" spans="1:9" ht="28.5" customHeight="1" x14ac:dyDescent="0.35">
      <c r="A131" s="82"/>
      <c r="B131" s="182">
        <v>4</v>
      </c>
      <c r="C131" s="188"/>
      <c r="D131" s="189" t="s">
        <v>171</v>
      </c>
      <c r="E131" s="190">
        <v>4</v>
      </c>
      <c r="F131" s="191">
        <v>0</v>
      </c>
      <c r="G131" s="193">
        <v>0</v>
      </c>
      <c r="H131" s="285" t="e">
        <f t="shared" si="23"/>
        <v>#DIV/0!</v>
      </c>
      <c r="I131" s="298"/>
    </row>
    <row r="132" spans="1:9" ht="28.5" customHeight="1" x14ac:dyDescent="0.35">
      <c r="A132" s="82"/>
      <c r="B132" s="182">
        <v>5</v>
      </c>
      <c r="C132" s="188"/>
      <c r="D132" s="189" t="s">
        <v>172</v>
      </c>
      <c r="E132" s="190">
        <v>4</v>
      </c>
      <c r="F132" s="191">
        <v>0</v>
      </c>
      <c r="G132" s="192">
        <v>0</v>
      </c>
      <c r="H132" s="285" t="e">
        <f t="shared" si="23"/>
        <v>#DIV/0!</v>
      </c>
      <c r="I132" s="298"/>
    </row>
    <row r="133" spans="1:9" ht="28.5" customHeight="1" x14ac:dyDescent="0.35">
      <c r="A133" s="82"/>
      <c r="B133" s="182">
        <v>6</v>
      </c>
      <c r="C133" s="188"/>
      <c r="D133" s="189" t="s">
        <v>173</v>
      </c>
      <c r="E133" s="190">
        <v>2</v>
      </c>
      <c r="F133" s="191">
        <v>0</v>
      </c>
      <c r="G133" s="192">
        <v>0</v>
      </c>
      <c r="H133" s="285" t="e">
        <f t="shared" si="23"/>
        <v>#DIV/0!</v>
      </c>
      <c r="I133" s="298"/>
    </row>
    <row r="134" spans="1:9" ht="28.5" customHeight="1" x14ac:dyDescent="0.35">
      <c r="A134" s="82"/>
      <c r="B134" s="182">
        <v>7</v>
      </c>
      <c r="C134" s="188"/>
      <c r="D134" s="189" t="s">
        <v>174</v>
      </c>
      <c r="E134" s="190">
        <v>5</v>
      </c>
      <c r="F134" s="191">
        <v>0</v>
      </c>
      <c r="G134" s="192">
        <v>0</v>
      </c>
      <c r="H134" s="285" t="e">
        <f>G134/F134*100</f>
        <v>#DIV/0!</v>
      </c>
      <c r="I134" s="298"/>
    </row>
    <row r="135" spans="1:9" ht="28.5" customHeight="1" x14ac:dyDescent="0.35">
      <c r="A135" s="268"/>
      <c r="B135" s="182">
        <v>8</v>
      </c>
      <c r="C135" s="188"/>
      <c r="D135" s="189" t="s">
        <v>175</v>
      </c>
      <c r="E135" s="190">
        <v>2</v>
      </c>
      <c r="F135" s="191">
        <v>0</v>
      </c>
      <c r="G135" s="192">
        <v>0</v>
      </c>
      <c r="H135" s="285" t="e">
        <f t="shared" si="23"/>
        <v>#DIV/0!</v>
      </c>
      <c r="I135" s="298"/>
    </row>
    <row r="136" spans="1:9" ht="28.5" customHeight="1" x14ac:dyDescent="0.35">
      <c r="B136" s="182">
        <v>9</v>
      </c>
      <c r="C136" s="188"/>
      <c r="D136" s="189" t="s">
        <v>176</v>
      </c>
      <c r="E136" s="190">
        <v>4</v>
      </c>
      <c r="F136" s="191">
        <v>0</v>
      </c>
      <c r="G136" s="192">
        <v>0</v>
      </c>
      <c r="H136" s="285" t="e">
        <f t="shared" si="23"/>
        <v>#DIV/0!</v>
      </c>
      <c r="I136" s="298"/>
    </row>
    <row r="137" spans="1:9" ht="28.5" customHeight="1" x14ac:dyDescent="0.35">
      <c r="B137" s="182">
        <v>10</v>
      </c>
      <c r="C137" s="194"/>
      <c r="D137" s="195" t="s">
        <v>177</v>
      </c>
      <c r="E137" s="196">
        <v>3</v>
      </c>
      <c r="F137" s="197">
        <v>0</v>
      </c>
      <c r="G137" s="198">
        <v>0</v>
      </c>
      <c r="H137" s="286" t="e">
        <f t="shared" si="23"/>
        <v>#DIV/0!</v>
      </c>
      <c r="I137" s="298"/>
    </row>
    <row r="138" spans="1:9" ht="28.5" customHeight="1" x14ac:dyDescent="0.35">
      <c r="B138" s="199"/>
      <c r="C138" s="199" t="s">
        <v>192</v>
      </c>
      <c r="D138" s="200">
        <v>10</v>
      </c>
      <c r="E138" s="201">
        <f>SUM(E128:E137)</f>
        <v>37</v>
      </c>
      <c r="F138" s="201">
        <f>SUM(F128:F137)</f>
        <v>1</v>
      </c>
      <c r="G138" s="201">
        <f>SUM(G128:G137)</f>
        <v>1</v>
      </c>
      <c r="H138" s="287">
        <f>G138/F138*100</f>
        <v>100</v>
      </c>
      <c r="I138" s="69"/>
    </row>
    <row r="139" spans="1:9" ht="28.5" customHeight="1" x14ac:dyDescent="0.35">
      <c r="B139" s="427"/>
      <c r="C139" s="427"/>
      <c r="D139" s="307"/>
      <c r="E139" s="428"/>
      <c r="F139" s="428"/>
      <c r="G139" s="428"/>
      <c r="H139" s="429"/>
      <c r="I139" s="69"/>
    </row>
    <row r="142" spans="1:9" x14ac:dyDescent="0.35">
      <c r="A142" s="699" t="s">
        <v>0</v>
      </c>
      <c r="B142" s="699"/>
      <c r="C142" s="699" t="s">
        <v>51</v>
      </c>
      <c r="D142" s="699" t="s">
        <v>250</v>
      </c>
      <c r="E142" s="699" t="s">
        <v>8</v>
      </c>
      <c r="F142" s="699" t="s">
        <v>7</v>
      </c>
      <c r="G142" s="700" t="s">
        <v>44</v>
      </c>
      <c r="H142" s="700"/>
    </row>
    <row r="143" spans="1:9" x14ac:dyDescent="0.35">
      <c r="A143" s="699"/>
      <c r="B143" s="699"/>
      <c r="C143" s="699"/>
      <c r="D143" s="699"/>
      <c r="E143" s="699"/>
      <c r="F143" s="699"/>
      <c r="G143" s="128" t="s">
        <v>2</v>
      </c>
      <c r="H143" s="128" t="s">
        <v>1</v>
      </c>
    </row>
    <row r="144" spans="1:9" x14ac:dyDescent="0.35">
      <c r="A144" s="430"/>
      <c r="B144" s="20">
        <v>1</v>
      </c>
      <c r="C144" s="20">
        <v>2</v>
      </c>
      <c r="D144" s="20">
        <v>3</v>
      </c>
      <c r="E144" s="20">
        <v>4</v>
      </c>
      <c r="F144" s="20">
        <v>5</v>
      </c>
      <c r="G144" s="26">
        <v>6</v>
      </c>
      <c r="H144" s="26">
        <v>7</v>
      </c>
    </row>
    <row r="145" spans="1:8" x14ac:dyDescent="0.35">
      <c r="A145" s="442">
        <v>1</v>
      </c>
      <c r="B145" s="443"/>
      <c r="C145" s="434" t="s">
        <v>59</v>
      </c>
      <c r="D145" s="20"/>
      <c r="E145" s="20"/>
      <c r="F145" s="20"/>
      <c r="G145" s="26"/>
      <c r="H145" s="26"/>
    </row>
    <row r="146" spans="1:8" x14ac:dyDescent="0.35">
      <c r="A146" s="157"/>
      <c r="B146" s="444">
        <v>1</v>
      </c>
      <c r="C146" s="436" t="s">
        <v>60</v>
      </c>
      <c r="D146" s="431"/>
      <c r="E146" s="432"/>
      <c r="F146" s="432"/>
      <c r="G146" s="432">
        <v>0</v>
      </c>
      <c r="H146" s="432" t="e">
        <f>G146/F146*100</f>
        <v>#DIV/0!</v>
      </c>
    </row>
    <row r="147" spans="1:8" x14ac:dyDescent="0.35">
      <c r="A147" s="157"/>
      <c r="B147" s="444">
        <v>2</v>
      </c>
      <c r="C147" s="436" t="s">
        <v>61</v>
      </c>
      <c r="D147" s="431"/>
      <c r="E147" s="432"/>
      <c r="F147" s="432"/>
      <c r="G147" s="432"/>
      <c r="H147" s="432"/>
    </row>
    <row r="148" spans="1:8" x14ac:dyDescent="0.35">
      <c r="A148" s="157"/>
      <c r="B148" s="444">
        <v>3</v>
      </c>
      <c r="C148" s="436" t="s">
        <v>228</v>
      </c>
      <c r="D148" s="431"/>
      <c r="E148" s="432"/>
      <c r="F148" s="432"/>
      <c r="G148" s="432"/>
      <c r="H148" s="432"/>
    </row>
    <row r="149" spans="1:8" x14ac:dyDescent="0.35">
      <c r="A149" s="157"/>
      <c r="B149" s="444">
        <v>4</v>
      </c>
      <c r="C149" s="436" t="s">
        <v>63</v>
      </c>
      <c r="D149" s="431"/>
      <c r="E149" s="432"/>
      <c r="F149" s="432"/>
      <c r="G149" s="432"/>
      <c r="H149" s="432"/>
    </row>
    <row r="150" spans="1:8" x14ac:dyDescent="0.35">
      <c r="A150" s="157"/>
      <c r="B150" s="444">
        <v>5</v>
      </c>
      <c r="C150" s="436" t="s">
        <v>64</v>
      </c>
      <c r="D150" s="431"/>
      <c r="E150" s="432"/>
      <c r="F150" s="432"/>
      <c r="G150" s="432"/>
      <c r="H150" s="432"/>
    </row>
    <row r="151" spans="1:8" x14ac:dyDescent="0.35">
      <c r="A151" s="157"/>
      <c r="B151" s="444">
        <v>6</v>
      </c>
      <c r="C151" s="436" t="s">
        <v>65</v>
      </c>
      <c r="D151" s="431"/>
      <c r="E151" s="432"/>
      <c r="F151" s="432"/>
      <c r="G151" s="432"/>
      <c r="H151" s="432"/>
    </row>
    <row r="152" spans="1:8" x14ac:dyDescent="0.35">
      <c r="A152" s="157"/>
      <c r="B152" s="444">
        <v>7</v>
      </c>
      <c r="C152" s="436" t="s">
        <v>229</v>
      </c>
      <c r="D152" s="431"/>
      <c r="E152" s="432"/>
      <c r="F152" s="432"/>
      <c r="G152" s="432"/>
      <c r="H152" s="432"/>
    </row>
    <row r="153" spans="1:8" x14ac:dyDescent="0.35">
      <c r="A153" s="157"/>
      <c r="B153" s="444">
        <v>8</v>
      </c>
      <c r="C153" s="436" t="s">
        <v>66</v>
      </c>
      <c r="D153" s="431"/>
      <c r="E153" s="432"/>
      <c r="F153" s="432"/>
      <c r="G153" s="432"/>
      <c r="H153" s="432"/>
    </row>
    <row r="154" spans="1:8" x14ac:dyDescent="0.35">
      <c r="A154" s="157"/>
      <c r="B154" s="444"/>
      <c r="C154" s="436"/>
      <c r="D154" s="431"/>
      <c r="E154" s="432"/>
      <c r="F154" s="432"/>
      <c r="G154" s="432"/>
      <c r="H154" s="432"/>
    </row>
    <row r="155" spans="1:8" x14ac:dyDescent="0.35">
      <c r="A155" s="157">
        <v>2</v>
      </c>
      <c r="B155" s="444"/>
      <c r="C155" s="437" t="s">
        <v>69</v>
      </c>
      <c r="D155" s="431"/>
      <c r="E155" s="432"/>
      <c r="F155" s="432"/>
      <c r="G155" s="432"/>
      <c r="H155" s="432"/>
    </row>
    <row r="156" spans="1:8" x14ac:dyDescent="0.35">
      <c r="A156" s="157"/>
      <c r="B156" s="444">
        <v>1</v>
      </c>
      <c r="C156" s="438" t="s">
        <v>70</v>
      </c>
      <c r="D156" s="431"/>
      <c r="E156" s="432"/>
      <c r="F156" s="432"/>
      <c r="G156" s="432"/>
      <c r="H156" s="432"/>
    </row>
    <row r="157" spans="1:8" x14ac:dyDescent="0.35">
      <c r="A157" s="157"/>
      <c r="B157" s="444">
        <v>2</v>
      </c>
      <c r="C157" s="438" t="s">
        <v>71</v>
      </c>
      <c r="D157" s="431"/>
      <c r="E157" s="432"/>
      <c r="F157" s="432"/>
      <c r="G157" s="432"/>
      <c r="H157" s="432"/>
    </row>
    <row r="158" spans="1:8" x14ac:dyDescent="0.35">
      <c r="A158" s="157"/>
      <c r="B158" s="444">
        <v>3</v>
      </c>
      <c r="C158" s="438" t="s">
        <v>72</v>
      </c>
      <c r="D158" s="431"/>
      <c r="E158" s="432"/>
      <c r="F158" s="432"/>
      <c r="G158" s="432"/>
      <c r="H158" s="432"/>
    </row>
    <row r="159" spans="1:8" x14ac:dyDescent="0.35">
      <c r="A159" s="157"/>
      <c r="B159" s="444">
        <v>4</v>
      </c>
      <c r="C159" s="438" t="s">
        <v>73</v>
      </c>
      <c r="D159" s="431"/>
      <c r="E159" s="432"/>
      <c r="F159" s="432"/>
      <c r="G159" s="432"/>
      <c r="H159" s="432"/>
    </row>
    <row r="160" spans="1:8" x14ac:dyDescent="0.35">
      <c r="A160" s="157"/>
      <c r="B160" s="444">
        <v>5</v>
      </c>
      <c r="C160" s="438" t="s">
        <v>74</v>
      </c>
      <c r="D160" s="431"/>
      <c r="E160" s="432"/>
      <c r="F160" s="432"/>
      <c r="G160" s="432"/>
      <c r="H160" s="432"/>
    </row>
    <row r="161" spans="1:8" x14ac:dyDescent="0.35">
      <c r="A161" s="157"/>
      <c r="B161" s="444">
        <v>6</v>
      </c>
      <c r="C161" s="438" t="s">
        <v>75</v>
      </c>
      <c r="D161" s="431"/>
      <c r="E161" s="432"/>
      <c r="F161" s="432"/>
      <c r="G161" s="432"/>
      <c r="H161" s="432"/>
    </row>
    <row r="162" spans="1:8" x14ac:dyDescent="0.35">
      <c r="A162" s="157"/>
      <c r="B162" s="444">
        <v>7</v>
      </c>
      <c r="C162" s="438" t="s">
        <v>76</v>
      </c>
      <c r="D162" s="431"/>
      <c r="E162" s="432"/>
      <c r="F162" s="432"/>
      <c r="G162" s="432"/>
      <c r="H162" s="432"/>
    </row>
    <row r="163" spans="1:8" x14ac:dyDescent="0.35">
      <c r="A163" s="157"/>
      <c r="B163" s="444"/>
      <c r="C163" s="436"/>
      <c r="D163" s="431"/>
      <c r="E163" s="432"/>
      <c r="F163" s="432"/>
      <c r="G163" s="432"/>
      <c r="H163" s="432"/>
    </row>
    <row r="164" spans="1:8" x14ac:dyDescent="0.35">
      <c r="A164" s="157">
        <v>3</v>
      </c>
      <c r="B164" s="444"/>
      <c r="C164" s="438" t="s">
        <v>196</v>
      </c>
      <c r="D164" s="431"/>
      <c r="E164" s="432"/>
      <c r="F164" s="432"/>
      <c r="G164" s="432"/>
      <c r="H164" s="432"/>
    </row>
    <row r="165" spans="1:8" x14ac:dyDescent="0.35">
      <c r="A165" s="157"/>
      <c r="B165" s="444">
        <v>1</v>
      </c>
      <c r="C165" s="433" t="s">
        <v>78</v>
      </c>
      <c r="D165" s="431"/>
      <c r="E165" s="432"/>
      <c r="F165" s="432"/>
      <c r="G165" s="432"/>
      <c r="H165" s="432"/>
    </row>
    <row r="166" spans="1:8" x14ac:dyDescent="0.35">
      <c r="A166" s="157"/>
      <c r="B166" s="444">
        <v>2</v>
      </c>
      <c r="C166" s="433" t="s">
        <v>79</v>
      </c>
      <c r="D166" s="431"/>
      <c r="E166" s="432"/>
      <c r="F166" s="432"/>
      <c r="G166" s="432"/>
      <c r="H166" s="432"/>
    </row>
    <row r="167" spans="1:8" x14ac:dyDescent="0.35">
      <c r="A167" s="157"/>
      <c r="B167" s="444">
        <v>3</v>
      </c>
      <c r="C167" s="433" t="s">
        <v>80</v>
      </c>
      <c r="D167" s="431"/>
      <c r="E167" s="432"/>
      <c r="F167" s="432"/>
      <c r="G167" s="432"/>
      <c r="H167" s="432"/>
    </row>
    <row r="168" spans="1:8" x14ac:dyDescent="0.35">
      <c r="A168" s="157"/>
      <c r="B168" s="444">
        <v>4</v>
      </c>
      <c r="C168" s="433" t="s">
        <v>81</v>
      </c>
      <c r="D168" s="431"/>
      <c r="E168" s="432"/>
      <c r="F168" s="432"/>
      <c r="G168" s="432"/>
      <c r="H168" s="432"/>
    </row>
    <row r="169" spans="1:8" x14ac:dyDescent="0.35">
      <c r="A169" s="157"/>
      <c r="B169" s="444">
        <v>5</v>
      </c>
      <c r="C169" s="433" t="s">
        <v>82</v>
      </c>
      <c r="D169" s="431"/>
      <c r="E169" s="432"/>
      <c r="F169" s="432"/>
      <c r="G169" s="432"/>
      <c r="H169" s="432"/>
    </row>
    <row r="170" spans="1:8" x14ac:dyDescent="0.35">
      <c r="A170" s="157"/>
      <c r="B170" s="444">
        <v>6</v>
      </c>
      <c r="C170" s="433" t="s">
        <v>83</v>
      </c>
      <c r="D170" s="431"/>
      <c r="E170" s="432"/>
      <c r="F170" s="432"/>
      <c r="G170" s="432"/>
      <c r="H170" s="432"/>
    </row>
    <row r="171" spans="1:8" x14ac:dyDescent="0.35">
      <c r="A171" s="157"/>
      <c r="B171" s="444"/>
      <c r="C171" s="436"/>
      <c r="D171" s="431"/>
      <c r="E171" s="432"/>
      <c r="F171" s="432"/>
      <c r="G171" s="432"/>
      <c r="H171" s="432"/>
    </row>
    <row r="172" spans="1:8" x14ac:dyDescent="0.35">
      <c r="A172" s="157">
        <v>4</v>
      </c>
      <c r="B172" s="444"/>
      <c r="C172" s="433" t="s">
        <v>252</v>
      </c>
      <c r="D172" s="431"/>
      <c r="E172" s="432"/>
      <c r="F172" s="432"/>
      <c r="G172" s="432"/>
      <c r="H172" s="432"/>
    </row>
    <row r="173" spans="1:8" x14ac:dyDescent="0.35">
      <c r="A173" s="157"/>
      <c r="B173" s="444">
        <v>1</v>
      </c>
      <c r="C173" s="251" t="s">
        <v>90</v>
      </c>
      <c r="D173" s="431"/>
      <c r="E173" s="432"/>
      <c r="F173" s="432"/>
      <c r="G173" s="432"/>
      <c r="H173" s="432"/>
    </row>
    <row r="174" spans="1:8" x14ac:dyDescent="0.35">
      <c r="A174" s="157"/>
      <c r="B174" s="444">
        <v>2</v>
      </c>
      <c r="C174" s="251" t="s">
        <v>85</v>
      </c>
      <c r="D174" s="431"/>
      <c r="E174" s="432"/>
      <c r="F174" s="432"/>
      <c r="G174" s="432"/>
      <c r="H174" s="432"/>
    </row>
    <row r="175" spans="1:8" x14ac:dyDescent="0.35">
      <c r="A175" s="157"/>
      <c r="B175" s="444">
        <v>3</v>
      </c>
      <c r="C175" s="251" t="s">
        <v>86</v>
      </c>
      <c r="D175" s="431"/>
      <c r="E175" s="432"/>
      <c r="F175" s="432"/>
      <c r="G175" s="432"/>
      <c r="H175" s="432"/>
    </row>
    <row r="176" spans="1:8" x14ac:dyDescent="0.35">
      <c r="A176" s="157"/>
      <c r="B176" s="444">
        <v>4</v>
      </c>
      <c r="C176" s="251" t="s">
        <v>70</v>
      </c>
      <c r="D176" s="431"/>
      <c r="E176" s="432"/>
      <c r="F176" s="432"/>
      <c r="G176" s="432"/>
      <c r="H176" s="432"/>
    </row>
    <row r="177" spans="1:8" x14ac:dyDescent="0.35">
      <c r="A177" s="157"/>
      <c r="B177" s="444">
        <v>5</v>
      </c>
      <c r="C177" s="251" t="s">
        <v>87</v>
      </c>
      <c r="D177" s="431"/>
      <c r="E177" s="432"/>
      <c r="F177" s="432"/>
      <c r="G177" s="432"/>
      <c r="H177" s="432"/>
    </row>
    <row r="178" spans="1:8" x14ac:dyDescent="0.35">
      <c r="A178" s="157"/>
      <c r="B178" s="444">
        <v>6</v>
      </c>
      <c r="C178" s="251" t="s">
        <v>88</v>
      </c>
      <c r="D178" s="431"/>
      <c r="E178" s="432"/>
      <c r="F178" s="432"/>
      <c r="G178" s="432"/>
      <c r="H178" s="432"/>
    </row>
    <row r="179" spans="1:8" x14ac:dyDescent="0.35">
      <c r="A179" s="157"/>
      <c r="B179" s="444">
        <v>7</v>
      </c>
      <c r="C179" s="251" t="s">
        <v>89</v>
      </c>
      <c r="D179" s="431"/>
      <c r="E179" s="432"/>
      <c r="F179" s="432"/>
      <c r="G179" s="432"/>
      <c r="H179" s="432"/>
    </row>
    <row r="180" spans="1:8" x14ac:dyDescent="0.35">
      <c r="A180" s="157"/>
      <c r="B180" s="444"/>
      <c r="C180" s="251"/>
      <c r="D180" s="431"/>
      <c r="E180" s="432"/>
      <c r="F180" s="432"/>
      <c r="G180" s="432"/>
      <c r="H180" s="432"/>
    </row>
    <row r="181" spans="1:8" x14ac:dyDescent="0.35">
      <c r="A181" s="157">
        <v>5</v>
      </c>
      <c r="B181" s="444"/>
      <c r="C181" s="438" t="s">
        <v>251</v>
      </c>
      <c r="D181" s="431"/>
      <c r="E181" s="432"/>
      <c r="F181" s="432"/>
      <c r="G181" s="432"/>
      <c r="H181" s="432"/>
    </row>
    <row r="182" spans="1:8" x14ac:dyDescent="0.35">
      <c r="A182" s="157"/>
      <c r="B182" s="444">
        <v>1</v>
      </c>
      <c r="C182" s="438" t="s">
        <v>91</v>
      </c>
      <c r="D182" s="431"/>
      <c r="E182" s="432"/>
      <c r="F182" s="432"/>
      <c r="G182" s="432"/>
      <c r="H182" s="432"/>
    </row>
    <row r="183" spans="1:8" x14ac:dyDescent="0.35">
      <c r="A183" s="157"/>
      <c r="B183" s="444">
        <v>2</v>
      </c>
      <c r="C183" s="438" t="s">
        <v>92</v>
      </c>
      <c r="D183" s="431"/>
      <c r="E183" s="432"/>
      <c r="F183" s="432"/>
      <c r="G183" s="432"/>
      <c r="H183" s="432"/>
    </row>
    <row r="184" spans="1:8" x14ac:dyDescent="0.35">
      <c r="A184" s="157"/>
      <c r="B184" s="444">
        <v>3</v>
      </c>
      <c r="C184" s="438" t="s">
        <v>93</v>
      </c>
      <c r="D184" s="431"/>
      <c r="E184" s="432"/>
      <c r="F184" s="432"/>
      <c r="G184" s="432"/>
      <c r="H184" s="432"/>
    </row>
    <row r="185" spans="1:8" x14ac:dyDescent="0.35">
      <c r="A185" s="157"/>
      <c r="B185" s="444">
        <v>4</v>
      </c>
      <c r="C185" s="438" t="s">
        <v>94</v>
      </c>
      <c r="D185" s="431"/>
      <c r="E185" s="432"/>
      <c r="F185" s="432"/>
      <c r="G185" s="432"/>
      <c r="H185" s="432"/>
    </row>
    <row r="186" spans="1:8" x14ac:dyDescent="0.35">
      <c r="A186" s="157"/>
      <c r="B186" s="444">
        <v>5</v>
      </c>
      <c r="C186" s="438" t="s">
        <v>95</v>
      </c>
      <c r="D186" s="431"/>
      <c r="E186" s="432"/>
      <c r="F186" s="432"/>
      <c r="G186" s="432"/>
      <c r="H186" s="432"/>
    </row>
    <row r="187" spans="1:8" x14ac:dyDescent="0.35">
      <c r="A187" s="157"/>
      <c r="B187" s="444">
        <v>6</v>
      </c>
      <c r="C187" s="438" t="s">
        <v>96</v>
      </c>
      <c r="D187" s="431"/>
      <c r="E187" s="432"/>
      <c r="F187" s="432"/>
      <c r="G187" s="432"/>
      <c r="H187" s="432"/>
    </row>
    <row r="188" spans="1:8" x14ac:dyDescent="0.35">
      <c r="A188" s="157"/>
      <c r="B188" s="444">
        <v>7</v>
      </c>
      <c r="C188" s="438" t="s">
        <v>97</v>
      </c>
      <c r="D188" s="431"/>
      <c r="E188" s="432"/>
      <c r="F188" s="432"/>
      <c r="G188" s="432"/>
      <c r="H188" s="432"/>
    </row>
    <row r="189" spans="1:8" x14ac:dyDescent="0.35">
      <c r="A189" s="157"/>
      <c r="B189" s="444">
        <v>8</v>
      </c>
      <c r="C189" s="438" t="s">
        <v>98</v>
      </c>
      <c r="D189" s="431"/>
      <c r="E189" s="432"/>
      <c r="F189" s="432"/>
      <c r="G189" s="432"/>
      <c r="H189" s="432"/>
    </row>
    <row r="190" spans="1:8" x14ac:dyDescent="0.35">
      <c r="A190" s="157"/>
      <c r="B190" s="444">
        <v>9</v>
      </c>
      <c r="C190" s="438" t="s">
        <v>99</v>
      </c>
      <c r="D190" s="431"/>
      <c r="E190" s="432"/>
      <c r="F190" s="432"/>
      <c r="G190" s="432"/>
      <c r="H190" s="432"/>
    </row>
    <row r="191" spans="1:8" x14ac:dyDescent="0.35">
      <c r="A191" s="157"/>
      <c r="B191" s="444">
        <v>10</v>
      </c>
      <c r="C191" s="438" t="s">
        <v>100</v>
      </c>
      <c r="D191" s="431"/>
      <c r="E191" s="432"/>
      <c r="F191" s="432"/>
      <c r="G191" s="432"/>
      <c r="H191" s="432"/>
    </row>
    <row r="192" spans="1:8" x14ac:dyDescent="0.35">
      <c r="A192" s="157"/>
      <c r="B192" s="444">
        <v>11</v>
      </c>
      <c r="C192" s="438" t="s">
        <v>101</v>
      </c>
      <c r="D192" s="431"/>
      <c r="E192" s="432"/>
      <c r="F192" s="432"/>
      <c r="G192" s="432"/>
      <c r="H192" s="432"/>
    </row>
    <row r="193" spans="1:8" x14ac:dyDescent="0.35">
      <c r="A193" s="157"/>
      <c r="B193" s="444"/>
      <c r="C193" s="436"/>
      <c r="D193" s="431"/>
      <c r="E193" s="432"/>
      <c r="F193" s="432"/>
      <c r="G193" s="432"/>
      <c r="H193" s="432"/>
    </row>
    <row r="194" spans="1:8" x14ac:dyDescent="0.35">
      <c r="A194" s="157">
        <v>6</v>
      </c>
      <c r="B194" s="444"/>
      <c r="C194" s="438" t="s">
        <v>204</v>
      </c>
      <c r="D194" s="431"/>
      <c r="E194" s="432"/>
      <c r="F194" s="432"/>
      <c r="G194" s="432"/>
      <c r="H194" s="432"/>
    </row>
    <row r="195" spans="1:8" x14ac:dyDescent="0.35">
      <c r="A195" s="157"/>
      <c r="B195" s="444">
        <v>1</v>
      </c>
      <c r="C195" s="435" t="s">
        <v>107</v>
      </c>
      <c r="D195" s="431"/>
      <c r="E195" s="432"/>
      <c r="F195" s="432"/>
      <c r="G195" s="432"/>
      <c r="H195" s="432"/>
    </row>
    <row r="196" spans="1:8" x14ac:dyDescent="0.35">
      <c r="A196" s="157"/>
      <c r="B196" s="444">
        <v>2</v>
      </c>
      <c r="C196" s="251" t="s">
        <v>108</v>
      </c>
      <c r="D196" s="431"/>
      <c r="E196" s="432"/>
      <c r="F196" s="432"/>
      <c r="G196" s="432"/>
      <c r="H196" s="432"/>
    </row>
    <row r="197" spans="1:8" x14ac:dyDescent="0.35">
      <c r="A197" s="157"/>
      <c r="B197" s="444">
        <v>3</v>
      </c>
      <c r="C197" s="251" t="s">
        <v>109</v>
      </c>
      <c r="D197" s="431"/>
      <c r="E197" s="432"/>
      <c r="F197" s="432"/>
      <c r="G197" s="432"/>
      <c r="H197" s="432"/>
    </row>
    <row r="198" spans="1:8" x14ac:dyDescent="0.35">
      <c r="A198" s="157"/>
      <c r="B198" s="444">
        <v>4</v>
      </c>
      <c r="C198" s="251" t="s">
        <v>110</v>
      </c>
      <c r="D198" s="431"/>
      <c r="E198" s="432"/>
      <c r="F198" s="432"/>
      <c r="G198" s="432"/>
      <c r="H198" s="432"/>
    </row>
    <row r="199" spans="1:8" x14ac:dyDescent="0.35">
      <c r="A199" s="157"/>
      <c r="B199" s="444">
        <v>5</v>
      </c>
      <c r="C199" s="251" t="s">
        <v>111</v>
      </c>
      <c r="D199" s="431"/>
      <c r="E199" s="432"/>
      <c r="F199" s="432"/>
      <c r="G199" s="432"/>
      <c r="H199" s="432"/>
    </row>
    <row r="200" spans="1:8" x14ac:dyDescent="0.35">
      <c r="A200" s="157"/>
      <c r="B200" s="444">
        <v>6</v>
      </c>
      <c r="C200" s="251" t="s">
        <v>112</v>
      </c>
      <c r="D200" s="431"/>
      <c r="E200" s="432"/>
      <c r="F200" s="432"/>
      <c r="G200" s="432"/>
      <c r="H200" s="432"/>
    </row>
    <row r="201" spans="1:8" x14ac:dyDescent="0.35">
      <c r="A201" s="157"/>
      <c r="B201" s="444">
        <v>7</v>
      </c>
      <c r="C201" s="251" t="s">
        <v>113</v>
      </c>
      <c r="D201" s="431"/>
      <c r="E201" s="432"/>
      <c r="F201" s="432"/>
      <c r="G201" s="432"/>
      <c r="H201" s="432"/>
    </row>
    <row r="202" spans="1:8" x14ac:dyDescent="0.35">
      <c r="A202" s="157"/>
      <c r="B202" s="444">
        <v>8</v>
      </c>
      <c r="C202" s="251" t="s">
        <v>114</v>
      </c>
      <c r="D202" s="431"/>
      <c r="E202" s="432"/>
      <c r="F202" s="432"/>
      <c r="G202" s="432"/>
      <c r="H202" s="432"/>
    </row>
    <row r="203" spans="1:8" x14ac:dyDescent="0.35">
      <c r="A203" s="157"/>
      <c r="B203" s="444">
        <v>9</v>
      </c>
      <c r="C203" s="251" t="s">
        <v>115</v>
      </c>
      <c r="D203" s="431"/>
      <c r="E203" s="432"/>
      <c r="F203" s="432"/>
      <c r="G203" s="432"/>
      <c r="H203" s="432"/>
    </row>
    <row r="204" spans="1:8" x14ac:dyDescent="0.35">
      <c r="A204" s="157"/>
      <c r="B204" s="444">
        <v>10</v>
      </c>
      <c r="C204" s="251" t="s">
        <v>116</v>
      </c>
      <c r="D204" s="431"/>
      <c r="E204" s="432"/>
      <c r="F204" s="432"/>
      <c r="G204" s="432"/>
      <c r="H204" s="432"/>
    </row>
    <row r="205" spans="1:8" x14ac:dyDescent="0.35">
      <c r="A205" s="157"/>
      <c r="B205" s="444">
        <v>11</v>
      </c>
      <c r="C205" s="251" t="s">
        <v>117</v>
      </c>
      <c r="D205" s="431"/>
      <c r="E205" s="432"/>
      <c r="F205" s="432"/>
      <c r="G205" s="432"/>
      <c r="H205" s="432"/>
    </row>
    <row r="206" spans="1:8" x14ac:dyDescent="0.35">
      <c r="A206" s="157"/>
      <c r="B206" s="444">
        <v>12</v>
      </c>
      <c r="C206" s="251" t="s">
        <v>118</v>
      </c>
      <c r="D206" s="431"/>
      <c r="E206" s="432"/>
      <c r="F206" s="432"/>
      <c r="G206" s="432"/>
      <c r="H206" s="432"/>
    </row>
    <row r="207" spans="1:8" x14ac:dyDescent="0.35">
      <c r="A207" s="157"/>
      <c r="B207" s="444"/>
      <c r="C207" s="436"/>
      <c r="D207" s="431"/>
      <c r="E207" s="432"/>
      <c r="F207" s="432"/>
      <c r="G207" s="432"/>
      <c r="H207" s="432"/>
    </row>
    <row r="208" spans="1:8" x14ac:dyDescent="0.35">
      <c r="A208" s="157">
        <v>7</v>
      </c>
      <c r="B208" s="444"/>
      <c r="C208" s="251" t="s">
        <v>195</v>
      </c>
      <c r="D208" s="431"/>
      <c r="E208" s="432"/>
      <c r="F208" s="432"/>
      <c r="G208" s="432"/>
      <c r="H208" s="432"/>
    </row>
    <row r="209" spans="1:8" x14ac:dyDescent="0.35">
      <c r="A209" s="157"/>
      <c r="B209" s="444">
        <v>1</v>
      </c>
      <c r="C209" s="251" t="s">
        <v>230</v>
      </c>
      <c r="D209" s="431"/>
      <c r="E209" s="432"/>
      <c r="F209" s="432"/>
      <c r="G209" s="432"/>
      <c r="H209" s="432"/>
    </row>
    <row r="210" spans="1:8" x14ac:dyDescent="0.35">
      <c r="A210" s="157"/>
      <c r="B210" s="444">
        <v>2</v>
      </c>
      <c r="C210" s="251" t="s">
        <v>231</v>
      </c>
      <c r="D210" s="431"/>
      <c r="E210" s="432"/>
      <c r="F210" s="432"/>
      <c r="G210" s="432"/>
      <c r="H210" s="432"/>
    </row>
    <row r="211" spans="1:8" x14ac:dyDescent="0.35">
      <c r="A211" s="157"/>
      <c r="B211" s="444">
        <v>3</v>
      </c>
      <c r="C211" s="251" t="s">
        <v>232</v>
      </c>
      <c r="D211" s="431"/>
      <c r="E211" s="432"/>
      <c r="F211" s="432"/>
      <c r="G211" s="432"/>
      <c r="H211" s="432"/>
    </row>
    <row r="212" spans="1:8" x14ac:dyDescent="0.35">
      <c r="A212" s="157"/>
      <c r="B212" s="444">
        <v>4</v>
      </c>
      <c r="C212" s="251" t="s">
        <v>233</v>
      </c>
      <c r="D212" s="431"/>
      <c r="E212" s="432"/>
      <c r="F212" s="432"/>
      <c r="G212" s="432"/>
      <c r="H212" s="432"/>
    </row>
    <row r="213" spans="1:8" x14ac:dyDescent="0.35">
      <c r="A213" s="157"/>
      <c r="B213" s="444">
        <v>5</v>
      </c>
      <c r="C213" s="251" t="s">
        <v>234</v>
      </c>
      <c r="D213" s="431"/>
      <c r="E213" s="432"/>
      <c r="F213" s="432"/>
      <c r="G213" s="432"/>
      <c r="H213" s="432"/>
    </row>
    <row r="214" spans="1:8" x14ac:dyDescent="0.35">
      <c r="A214" s="157"/>
      <c r="B214" s="444">
        <v>6</v>
      </c>
      <c r="C214" s="251" t="s">
        <v>235</v>
      </c>
      <c r="D214" s="431"/>
      <c r="E214" s="432"/>
      <c r="F214" s="432"/>
      <c r="G214" s="432"/>
      <c r="H214" s="432"/>
    </row>
    <row r="215" spans="1:8" x14ac:dyDescent="0.35">
      <c r="A215" s="157"/>
      <c r="B215" s="444">
        <v>7</v>
      </c>
      <c r="C215" s="251" t="s">
        <v>236</v>
      </c>
      <c r="D215" s="431"/>
      <c r="E215" s="432"/>
      <c r="F215" s="432"/>
      <c r="G215" s="432"/>
      <c r="H215" s="432"/>
    </row>
    <row r="216" spans="1:8" x14ac:dyDescent="0.35">
      <c r="A216" s="157"/>
      <c r="B216" s="444">
        <v>8</v>
      </c>
      <c r="C216" s="251" t="s">
        <v>237</v>
      </c>
      <c r="D216" s="431"/>
      <c r="E216" s="432"/>
      <c r="F216" s="432"/>
      <c r="G216" s="432"/>
      <c r="H216" s="432"/>
    </row>
    <row r="217" spans="1:8" x14ac:dyDescent="0.35">
      <c r="A217" s="157"/>
      <c r="B217" s="444">
        <v>9</v>
      </c>
      <c r="C217" s="439" t="s">
        <v>238</v>
      </c>
      <c r="D217" s="431"/>
      <c r="E217" s="432"/>
      <c r="F217" s="432"/>
      <c r="G217" s="432"/>
      <c r="H217" s="432"/>
    </row>
    <row r="218" spans="1:8" x14ac:dyDescent="0.35">
      <c r="A218" s="157"/>
      <c r="B218" s="444"/>
      <c r="C218" s="436"/>
      <c r="D218" s="431"/>
      <c r="E218" s="432"/>
      <c r="F218" s="432"/>
      <c r="G218" s="432"/>
      <c r="H218" s="432"/>
    </row>
    <row r="219" spans="1:8" x14ac:dyDescent="0.35">
      <c r="A219" s="157">
        <v>8</v>
      </c>
      <c r="B219" s="444"/>
      <c r="C219" s="251" t="s">
        <v>127</v>
      </c>
      <c r="D219" s="431"/>
      <c r="E219" s="432"/>
      <c r="F219" s="432"/>
      <c r="G219" s="432"/>
      <c r="H219" s="432"/>
    </row>
    <row r="220" spans="1:8" x14ac:dyDescent="0.35">
      <c r="A220" s="157"/>
      <c r="B220" s="444">
        <v>1</v>
      </c>
      <c r="C220" s="251" t="s">
        <v>128</v>
      </c>
      <c r="D220" s="431"/>
      <c r="E220" s="432"/>
      <c r="F220" s="432"/>
      <c r="G220" s="432"/>
      <c r="H220" s="432"/>
    </row>
    <row r="221" spans="1:8" x14ac:dyDescent="0.35">
      <c r="A221" s="157"/>
      <c r="B221" s="444">
        <v>2</v>
      </c>
      <c r="C221" s="251" t="s">
        <v>129</v>
      </c>
      <c r="D221" s="431"/>
      <c r="E221" s="432"/>
      <c r="F221" s="432"/>
      <c r="G221" s="432"/>
      <c r="H221" s="432"/>
    </row>
    <row r="222" spans="1:8" x14ac:dyDescent="0.35">
      <c r="A222" s="157"/>
      <c r="B222" s="444">
        <v>3</v>
      </c>
      <c r="C222" s="251" t="s">
        <v>130</v>
      </c>
      <c r="D222" s="431"/>
      <c r="E222" s="432"/>
      <c r="F222" s="432"/>
      <c r="G222" s="432"/>
      <c r="H222" s="432"/>
    </row>
    <row r="223" spans="1:8" x14ac:dyDescent="0.35">
      <c r="A223" s="157"/>
      <c r="B223" s="444">
        <v>4</v>
      </c>
      <c r="C223" s="251" t="s">
        <v>131</v>
      </c>
      <c r="D223" s="431"/>
      <c r="E223" s="431"/>
      <c r="F223" s="431"/>
      <c r="G223" s="431"/>
      <c r="H223" s="431"/>
    </row>
    <row r="224" spans="1:8" x14ac:dyDescent="0.35">
      <c r="A224" s="157"/>
      <c r="B224" s="444">
        <v>5</v>
      </c>
      <c r="C224" s="251" t="s">
        <v>132</v>
      </c>
      <c r="D224" s="431"/>
      <c r="E224" s="431"/>
      <c r="F224" s="431"/>
      <c r="G224" s="431"/>
      <c r="H224" s="431"/>
    </row>
    <row r="225" spans="1:8" x14ac:dyDescent="0.35">
      <c r="A225" s="157"/>
      <c r="B225" s="444">
        <v>6</v>
      </c>
      <c r="C225" s="251" t="s">
        <v>133</v>
      </c>
      <c r="D225" s="431"/>
      <c r="E225" s="431"/>
      <c r="F225" s="431"/>
      <c r="G225" s="431"/>
      <c r="H225" s="431"/>
    </row>
    <row r="226" spans="1:8" x14ac:dyDescent="0.35">
      <c r="A226" s="157"/>
      <c r="B226" s="444">
        <v>7</v>
      </c>
      <c r="C226" s="251" t="s">
        <v>134</v>
      </c>
      <c r="D226" s="431"/>
      <c r="E226" s="431"/>
      <c r="F226" s="431"/>
      <c r="G226" s="431"/>
      <c r="H226" s="431"/>
    </row>
    <row r="227" spans="1:8" x14ac:dyDescent="0.35">
      <c r="A227" s="157"/>
      <c r="B227" s="444">
        <v>8</v>
      </c>
      <c r="C227" s="251" t="s">
        <v>135</v>
      </c>
      <c r="D227" s="431"/>
      <c r="E227" s="431"/>
      <c r="F227" s="431"/>
      <c r="G227" s="431"/>
      <c r="H227" s="431"/>
    </row>
    <row r="228" spans="1:8" x14ac:dyDescent="0.35">
      <c r="A228" s="157"/>
      <c r="B228" s="444">
        <v>9</v>
      </c>
      <c r="C228" s="251" t="s">
        <v>136</v>
      </c>
      <c r="D228" s="431"/>
      <c r="E228" s="431"/>
      <c r="F228" s="431"/>
      <c r="G228" s="431"/>
      <c r="H228" s="431"/>
    </row>
    <row r="229" spans="1:8" x14ac:dyDescent="0.35">
      <c r="A229" s="157"/>
      <c r="B229" s="157"/>
      <c r="C229" s="440"/>
      <c r="D229" s="431"/>
      <c r="E229" s="431"/>
      <c r="F229" s="431"/>
      <c r="G229" s="431"/>
      <c r="H229" s="431"/>
    </row>
    <row r="230" spans="1:8" x14ac:dyDescent="0.35">
      <c r="A230" s="157">
        <v>9</v>
      </c>
      <c r="B230" s="157"/>
      <c r="C230" s="440" t="s">
        <v>253</v>
      </c>
      <c r="D230" s="431"/>
      <c r="E230" s="431"/>
      <c r="F230" s="431"/>
      <c r="G230" s="431"/>
      <c r="H230" s="431"/>
    </row>
    <row r="231" spans="1:8" x14ac:dyDescent="0.35">
      <c r="A231" s="157"/>
      <c r="B231" s="157">
        <v>1</v>
      </c>
      <c r="C231" s="436" t="s">
        <v>138</v>
      </c>
      <c r="D231" s="431"/>
      <c r="E231" s="431"/>
      <c r="F231" s="431"/>
      <c r="G231" s="431"/>
      <c r="H231" s="431"/>
    </row>
    <row r="232" spans="1:8" x14ac:dyDescent="0.35">
      <c r="A232" s="157"/>
      <c r="B232" s="157">
        <v>2</v>
      </c>
      <c r="C232" s="436" t="s">
        <v>139</v>
      </c>
      <c r="D232" s="431"/>
      <c r="E232" s="431"/>
      <c r="F232" s="431"/>
      <c r="G232" s="431"/>
      <c r="H232" s="431"/>
    </row>
    <row r="233" spans="1:8" x14ac:dyDescent="0.35">
      <c r="A233" s="157"/>
      <c r="B233" s="157">
        <v>3</v>
      </c>
      <c r="C233" s="436" t="s">
        <v>140</v>
      </c>
      <c r="D233" s="431"/>
      <c r="E233" s="431"/>
      <c r="F233" s="431"/>
      <c r="G233" s="431"/>
      <c r="H233" s="431"/>
    </row>
    <row r="234" spans="1:8" x14ac:dyDescent="0.35">
      <c r="A234" s="157"/>
      <c r="B234" s="157">
        <v>4</v>
      </c>
      <c r="C234" s="436" t="s">
        <v>141</v>
      </c>
      <c r="D234" s="431"/>
      <c r="E234" s="431"/>
      <c r="F234" s="431"/>
      <c r="G234" s="431"/>
      <c r="H234" s="431"/>
    </row>
    <row r="235" spans="1:8" x14ac:dyDescent="0.35">
      <c r="A235" s="157"/>
      <c r="B235" s="157">
        <v>5</v>
      </c>
      <c r="C235" s="436" t="s">
        <v>142</v>
      </c>
      <c r="D235" s="431"/>
      <c r="E235" s="431"/>
      <c r="F235" s="431"/>
      <c r="G235" s="431"/>
      <c r="H235" s="431"/>
    </row>
    <row r="236" spans="1:8" x14ac:dyDescent="0.35">
      <c r="A236" s="157"/>
      <c r="B236" s="157">
        <v>6</v>
      </c>
      <c r="C236" s="436" t="s">
        <v>143</v>
      </c>
      <c r="D236" s="431"/>
      <c r="E236" s="431"/>
      <c r="F236" s="431"/>
      <c r="G236" s="431"/>
      <c r="H236" s="431"/>
    </row>
    <row r="237" spans="1:8" x14ac:dyDescent="0.35">
      <c r="A237" s="157"/>
      <c r="B237" s="157">
        <v>7</v>
      </c>
      <c r="C237" s="436" t="s">
        <v>144</v>
      </c>
      <c r="D237" s="431"/>
      <c r="E237" s="431"/>
      <c r="F237" s="431"/>
      <c r="G237" s="431"/>
      <c r="H237" s="431"/>
    </row>
    <row r="238" spans="1:8" x14ac:dyDescent="0.35">
      <c r="A238" s="157"/>
      <c r="B238" s="157">
        <v>8</v>
      </c>
      <c r="C238" s="436" t="s">
        <v>145</v>
      </c>
      <c r="D238" s="431"/>
      <c r="E238" s="431"/>
      <c r="F238" s="431"/>
      <c r="G238" s="431"/>
      <c r="H238" s="431"/>
    </row>
    <row r="239" spans="1:8" x14ac:dyDescent="0.35">
      <c r="A239" s="157"/>
      <c r="B239" s="157">
        <v>9</v>
      </c>
      <c r="C239" s="436" t="s">
        <v>146</v>
      </c>
      <c r="D239" s="431"/>
      <c r="E239" s="431"/>
      <c r="F239" s="431"/>
      <c r="G239" s="431"/>
      <c r="H239" s="431"/>
    </row>
    <row r="240" spans="1:8" x14ac:dyDescent="0.35">
      <c r="A240" s="157"/>
      <c r="B240" s="157">
        <v>10</v>
      </c>
      <c r="C240" s="436" t="s">
        <v>147</v>
      </c>
      <c r="D240" s="431"/>
      <c r="E240" s="431"/>
      <c r="F240" s="431"/>
      <c r="G240" s="431"/>
      <c r="H240" s="431"/>
    </row>
    <row r="241" spans="1:8" x14ac:dyDescent="0.35">
      <c r="A241" s="157"/>
      <c r="B241" s="157">
        <v>11</v>
      </c>
      <c r="C241" s="436" t="s">
        <v>148</v>
      </c>
      <c r="D241" s="431"/>
      <c r="E241" s="431"/>
      <c r="F241" s="431"/>
      <c r="G241" s="431"/>
      <c r="H241" s="431"/>
    </row>
    <row r="242" spans="1:8" x14ac:dyDescent="0.35">
      <c r="A242" s="157"/>
      <c r="B242" s="157">
        <v>12</v>
      </c>
      <c r="C242" s="436" t="s">
        <v>149</v>
      </c>
      <c r="D242" s="431"/>
      <c r="E242" s="431"/>
      <c r="F242" s="431"/>
      <c r="G242" s="431"/>
      <c r="H242" s="431"/>
    </row>
    <row r="243" spans="1:8" x14ac:dyDescent="0.35">
      <c r="A243" s="157"/>
      <c r="B243" s="157">
        <v>13</v>
      </c>
      <c r="C243" s="440" t="s">
        <v>150</v>
      </c>
      <c r="D243" s="431"/>
      <c r="E243" s="431"/>
      <c r="F243" s="431"/>
      <c r="G243" s="431"/>
      <c r="H243" s="431"/>
    </row>
    <row r="244" spans="1:8" x14ac:dyDescent="0.35">
      <c r="A244" s="157"/>
      <c r="B244" s="157"/>
      <c r="C244" s="440"/>
      <c r="D244" s="431"/>
      <c r="E244" s="431"/>
      <c r="F244" s="431"/>
      <c r="G244" s="431"/>
      <c r="H244" s="431"/>
    </row>
    <row r="245" spans="1:8" x14ac:dyDescent="0.35">
      <c r="A245" s="157">
        <v>10</v>
      </c>
      <c r="B245" s="157"/>
      <c r="C245" s="440" t="s">
        <v>201</v>
      </c>
      <c r="D245" s="431"/>
      <c r="E245" s="431"/>
      <c r="F245" s="431"/>
      <c r="G245" s="431"/>
      <c r="H245" s="431"/>
    </row>
    <row r="246" spans="1:8" x14ac:dyDescent="0.35">
      <c r="A246" s="157"/>
      <c r="B246" s="157">
        <v>1</v>
      </c>
      <c r="C246" s="251" t="s">
        <v>180</v>
      </c>
      <c r="D246" s="431"/>
      <c r="E246" s="431"/>
      <c r="F246" s="431"/>
      <c r="G246" s="431"/>
      <c r="H246" s="431"/>
    </row>
    <row r="247" spans="1:8" x14ac:dyDescent="0.35">
      <c r="A247" s="157"/>
      <c r="B247" s="157">
        <v>2</v>
      </c>
      <c r="C247" s="251" t="s">
        <v>181</v>
      </c>
      <c r="D247" s="431"/>
      <c r="E247" s="431"/>
      <c r="F247" s="431"/>
      <c r="G247" s="431"/>
      <c r="H247" s="431"/>
    </row>
    <row r="248" spans="1:8" x14ac:dyDescent="0.35">
      <c r="A248" s="157"/>
      <c r="B248" s="157">
        <v>3</v>
      </c>
      <c r="C248" s="251" t="s">
        <v>182</v>
      </c>
      <c r="D248" s="431"/>
      <c r="E248" s="431"/>
      <c r="F248" s="431"/>
      <c r="G248" s="431"/>
      <c r="H248" s="431"/>
    </row>
    <row r="249" spans="1:8" x14ac:dyDescent="0.35">
      <c r="A249" s="157"/>
      <c r="B249" s="157">
        <v>4</v>
      </c>
      <c r="C249" s="251" t="s">
        <v>183</v>
      </c>
      <c r="D249" s="431"/>
      <c r="E249" s="431"/>
      <c r="F249" s="431"/>
      <c r="G249" s="431"/>
      <c r="H249" s="431"/>
    </row>
    <row r="250" spans="1:8" x14ac:dyDescent="0.35">
      <c r="A250" s="157"/>
      <c r="B250" s="157">
        <v>5</v>
      </c>
      <c r="C250" s="251" t="s">
        <v>184</v>
      </c>
      <c r="D250" s="431"/>
      <c r="E250" s="431"/>
      <c r="F250" s="431"/>
      <c r="G250" s="431"/>
      <c r="H250" s="431"/>
    </row>
    <row r="251" spans="1:8" x14ac:dyDescent="0.35">
      <c r="A251" s="157"/>
      <c r="B251" s="157">
        <v>6</v>
      </c>
      <c r="C251" s="251" t="s">
        <v>152</v>
      </c>
      <c r="D251" s="431"/>
      <c r="E251" s="431"/>
      <c r="F251" s="431"/>
      <c r="G251" s="431"/>
      <c r="H251" s="431"/>
    </row>
    <row r="252" spans="1:8" x14ac:dyDescent="0.35">
      <c r="A252" s="157"/>
      <c r="B252" s="157">
        <v>7</v>
      </c>
      <c r="C252" s="251" t="s">
        <v>185</v>
      </c>
      <c r="D252" s="431"/>
      <c r="E252" s="431"/>
      <c r="F252" s="431"/>
      <c r="G252" s="431"/>
      <c r="H252" s="431"/>
    </row>
    <row r="253" spans="1:8" x14ac:dyDescent="0.35">
      <c r="A253" s="157"/>
      <c r="B253" s="157">
        <v>8</v>
      </c>
      <c r="C253" s="251" t="s">
        <v>186</v>
      </c>
      <c r="D253" s="431"/>
      <c r="E253" s="431"/>
      <c r="F253" s="431"/>
      <c r="G253" s="431"/>
      <c r="H253" s="431"/>
    </row>
    <row r="254" spans="1:8" x14ac:dyDescent="0.35">
      <c r="A254" s="157"/>
      <c r="B254" s="157">
        <v>9</v>
      </c>
      <c r="C254" s="251" t="s">
        <v>187</v>
      </c>
      <c r="D254" s="431"/>
      <c r="E254" s="431"/>
      <c r="F254" s="431"/>
      <c r="G254" s="431"/>
      <c r="H254" s="431"/>
    </row>
    <row r="255" spans="1:8" x14ac:dyDescent="0.35">
      <c r="A255" s="157"/>
      <c r="B255" s="157">
        <v>10</v>
      </c>
      <c r="C255" s="251" t="s">
        <v>188</v>
      </c>
      <c r="D255" s="431"/>
      <c r="E255" s="431"/>
      <c r="F255" s="431"/>
      <c r="G255" s="431"/>
      <c r="H255" s="431"/>
    </row>
    <row r="256" spans="1:8" x14ac:dyDescent="0.35">
      <c r="A256" s="157"/>
      <c r="B256" s="157">
        <v>11</v>
      </c>
      <c r="C256" s="251" t="s">
        <v>189</v>
      </c>
      <c r="D256" s="431"/>
      <c r="E256" s="431"/>
      <c r="F256" s="431"/>
      <c r="G256" s="431"/>
      <c r="H256" s="431"/>
    </row>
    <row r="257" spans="1:8" x14ac:dyDescent="0.35">
      <c r="A257" s="157"/>
      <c r="B257" s="157"/>
      <c r="C257" s="440"/>
      <c r="D257" s="431"/>
      <c r="E257" s="431"/>
      <c r="F257" s="431"/>
      <c r="G257" s="431"/>
      <c r="H257" s="431"/>
    </row>
    <row r="258" spans="1:8" x14ac:dyDescent="0.35">
      <c r="A258" s="157">
        <v>11</v>
      </c>
      <c r="B258" s="157"/>
      <c r="C258" s="440" t="s">
        <v>179</v>
      </c>
      <c r="D258" s="431"/>
      <c r="E258" s="431"/>
      <c r="F258" s="431"/>
      <c r="G258" s="431"/>
      <c r="H258" s="431"/>
    </row>
    <row r="259" spans="1:8" x14ac:dyDescent="0.35">
      <c r="A259" s="157"/>
      <c r="B259" s="157">
        <v>1</v>
      </c>
      <c r="C259" s="441" t="s">
        <v>168</v>
      </c>
      <c r="D259" s="431"/>
      <c r="E259" s="431"/>
      <c r="F259" s="431"/>
      <c r="G259" s="431"/>
      <c r="H259" s="431"/>
    </row>
    <row r="260" spans="1:8" x14ac:dyDescent="0.35">
      <c r="A260" s="157"/>
      <c r="B260" s="157">
        <v>2</v>
      </c>
      <c r="C260" s="441" t="s">
        <v>169</v>
      </c>
      <c r="D260" s="431"/>
      <c r="E260" s="431"/>
      <c r="F260" s="431"/>
      <c r="G260" s="431"/>
      <c r="H260" s="431"/>
    </row>
    <row r="261" spans="1:8" x14ac:dyDescent="0.35">
      <c r="A261" s="157"/>
      <c r="B261" s="157">
        <v>3</v>
      </c>
      <c r="C261" s="441" t="s">
        <v>170</v>
      </c>
      <c r="D261" s="431"/>
      <c r="E261" s="431"/>
      <c r="F261" s="431"/>
      <c r="G261" s="431"/>
      <c r="H261" s="431"/>
    </row>
    <row r="262" spans="1:8" x14ac:dyDescent="0.35">
      <c r="A262" s="157"/>
      <c r="B262" s="157">
        <v>4</v>
      </c>
      <c r="C262" s="441" t="s">
        <v>171</v>
      </c>
      <c r="D262" s="431"/>
      <c r="E262" s="431"/>
      <c r="F262" s="431"/>
      <c r="G262" s="431"/>
      <c r="H262" s="431"/>
    </row>
    <row r="263" spans="1:8" x14ac:dyDescent="0.35">
      <c r="A263" s="157"/>
      <c r="B263" s="157">
        <v>5</v>
      </c>
      <c r="C263" s="441" t="s">
        <v>172</v>
      </c>
      <c r="D263" s="431"/>
      <c r="E263" s="431"/>
      <c r="F263" s="431"/>
      <c r="G263" s="431"/>
      <c r="H263" s="431"/>
    </row>
    <row r="264" spans="1:8" x14ac:dyDescent="0.35">
      <c r="A264" s="157"/>
      <c r="B264" s="157">
        <v>6</v>
      </c>
      <c r="C264" s="441" t="s">
        <v>173</v>
      </c>
      <c r="D264" s="431"/>
      <c r="E264" s="431"/>
      <c r="F264" s="431"/>
      <c r="G264" s="431"/>
      <c r="H264" s="431"/>
    </row>
    <row r="265" spans="1:8" x14ac:dyDescent="0.35">
      <c r="A265" s="157"/>
      <c r="B265" s="157">
        <v>7</v>
      </c>
      <c r="C265" s="441" t="s">
        <v>174</v>
      </c>
      <c r="D265" s="431"/>
      <c r="E265" s="431"/>
      <c r="F265" s="431"/>
      <c r="G265" s="431"/>
      <c r="H265" s="431"/>
    </row>
    <row r="266" spans="1:8" x14ac:dyDescent="0.35">
      <c r="A266" s="157"/>
      <c r="B266" s="157">
        <v>8</v>
      </c>
      <c r="C266" s="441" t="s">
        <v>175</v>
      </c>
      <c r="D266" s="431"/>
      <c r="E266" s="431"/>
      <c r="F266" s="431"/>
      <c r="G266" s="431"/>
      <c r="H266" s="431"/>
    </row>
    <row r="267" spans="1:8" x14ac:dyDescent="0.35">
      <c r="A267" s="157"/>
      <c r="B267" s="157">
        <v>9</v>
      </c>
      <c r="C267" s="441" t="s">
        <v>176</v>
      </c>
      <c r="D267" s="431"/>
      <c r="E267" s="431"/>
      <c r="F267" s="431"/>
      <c r="G267" s="431"/>
      <c r="H267" s="431"/>
    </row>
    <row r="268" spans="1:8" x14ac:dyDescent="0.35">
      <c r="A268" s="157"/>
      <c r="B268" s="157">
        <v>10</v>
      </c>
      <c r="C268" s="441" t="s">
        <v>177</v>
      </c>
      <c r="D268" s="431"/>
      <c r="E268" s="431"/>
      <c r="F268" s="431"/>
      <c r="G268" s="431"/>
      <c r="H268" s="431"/>
    </row>
    <row r="269" spans="1:8" x14ac:dyDescent="0.35">
      <c r="A269" s="431"/>
      <c r="B269" s="431"/>
      <c r="C269" s="431"/>
      <c r="D269" s="431"/>
      <c r="E269" s="431"/>
      <c r="F269" s="431"/>
      <c r="G269" s="431"/>
      <c r="H269" s="431"/>
    </row>
  </sheetData>
  <mergeCells count="22">
    <mergeCell ref="B1:H1"/>
    <mergeCell ref="A2:H2"/>
    <mergeCell ref="A3:H3"/>
    <mergeCell ref="A5:B6"/>
    <mergeCell ref="C5:C6"/>
    <mergeCell ref="D5:D6"/>
    <mergeCell ref="E5:E6"/>
    <mergeCell ref="F5:F6"/>
    <mergeCell ref="G5:H5"/>
    <mergeCell ref="C19:D19"/>
    <mergeCell ref="A22:B23"/>
    <mergeCell ref="C22:C23"/>
    <mergeCell ref="D22:D23"/>
    <mergeCell ref="E22:E23"/>
    <mergeCell ref="G22:H22"/>
    <mergeCell ref="A142:B143"/>
    <mergeCell ref="C142:C143"/>
    <mergeCell ref="D142:D143"/>
    <mergeCell ref="E142:E143"/>
    <mergeCell ref="F142:F143"/>
    <mergeCell ref="G142:H142"/>
    <mergeCell ref="F22:F23"/>
  </mergeCells>
  <printOptions horizontalCentered="1"/>
  <pageMargins left="0.47244094488188981" right="0.47244094488188981" top="0.74803149606299213" bottom="0.74803149606299213" header="0.31496062992125984" footer="0.31496062992125984"/>
  <pageSetup paperSize="9" scale="55" orientation="landscape" horizontalDpi="4294967293" r:id="rId1"/>
  <rowBreaks count="1" manualBreakCount="1">
    <brk id="20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7">
    <tabColor rgb="FFC00000"/>
  </sheetPr>
  <dimension ref="A1:Y141"/>
  <sheetViews>
    <sheetView view="pageBreakPreview" topLeftCell="D1" zoomScale="60" zoomScaleNormal="60" workbookViewId="0">
      <selection activeCell="U17" sqref="U17"/>
    </sheetView>
  </sheetViews>
  <sheetFormatPr defaultColWidth="8.81640625" defaultRowHeight="15.5" x14ac:dyDescent="0.35"/>
  <cols>
    <col min="1" max="1" width="5.7265625" style="73" customWidth="1"/>
    <col min="2" max="2" width="5.7265625" style="1" customWidth="1"/>
    <col min="3" max="3" width="27.81640625" style="1" customWidth="1"/>
    <col min="4" max="4" width="24" style="1" customWidth="1"/>
    <col min="5" max="5" width="12.453125" style="1" customWidth="1"/>
    <col min="6" max="6" width="14.81640625" style="1" customWidth="1"/>
    <col min="7" max="7" width="23" style="1" customWidth="1"/>
    <col min="8" max="8" width="17.1796875" style="1" customWidth="1"/>
    <col min="9" max="9" width="12.54296875" style="1" customWidth="1"/>
    <col min="10" max="10" width="14.81640625" style="1" customWidth="1"/>
    <col min="11" max="11" width="13.54296875" style="1" customWidth="1"/>
    <col min="12" max="12" width="11.81640625" style="1" customWidth="1"/>
    <col min="13" max="13" width="11.26953125" style="1" customWidth="1"/>
    <col min="14" max="14" width="17" style="1" customWidth="1"/>
    <col min="15" max="15" width="15" style="1" customWidth="1"/>
    <col min="16" max="16" width="26.7265625" style="1" customWidth="1"/>
    <col min="17" max="17" width="13.26953125" style="7" customWidth="1"/>
    <col min="18" max="19" width="11.54296875" style="7" customWidth="1"/>
    <col min="20" max="20" width="9.7265625" style="7" customWidth="1"/>
    <col min="21" max="25" width="8.81640625" style="7"/>
    <col min="26" max="26" width="8.81640625" style="7" customWidth="1"/>
    <col min="27" max="257" width="8.81640625" style="7"/>
    <col min="258" max="258" width="5.7265625" style="7" customWidth="1"/>
    <col min="259" max="260" width="22.7265625" style="7" customWidth="1"/>
    <col min="261" max="261" width="16.453125" style="7" customWidth="1"/>
    <col min="262" max="262" width="14.81640625" style="7" customWidth="1"/>
    <col min="263" max="263" width="15.26953125" style="7" customWidth="1"/>
    <col min="264" max="264" width="13.54296875" style="7" customWidth="1"/>
    <col min="265" max="265" width="15.1796875" style="7" customWidth="1"/>
    <col min="266" max="266" width="13.54296875" style="7" customWidth="1"/>
    <col min="267" max="267" width="15.1796875" style="7" customWidth="1"/>
    <col min="268" max="268" width="18.54296875" style="7" customWidth="1"/>
    <col min="269" max="269" width="22.7265625" style="7" customWidth="1"/>
    <col min="270" max="270" width="17" style="7" customWidth="1"/>
    <col min="271" max="271" width="19.7265625" style="7" customWidth="1"/>
    <col min="272" max="272" width="15.26953125" style="7" customWidth="1"/>
    <col min="273" max="273" width="20.7265625" style="7" customWidth="1"/>
    <col min="274" max="513" width="8.81640625" style="7"/>
    <col min="514" max="514" width="5.7265625" style="7" customWidth="1"/>
    <col min="515" max="516" width="22.7265625" style="7" customWidth="1"/>
    <col min="517" max="517" width="16.453125" style="7" customWidth="1"/>
    <col min="518" max="518" width="14.81640625" style="7" customWidth="1"/>
    <col min="519" max="519" width="15.26953125" style="7" customWidth="1"/>
    <col min="520" max="520" width="13.54296875" style="7" customWidth="1"/>
    <col min="521" max="521" width="15.1796875" style="7" customWidth="1"/>
    <col min="522" max="522" width="13.54296875" style="7" customWidth="1"/>
    <col min="523" max="523" width="15.1796875" style="7" customWidth="1"/>
    <col min="524" max="524" width="18.54296875" style="7" customWidth="1"/>
    <col min="525" max="525" width="22.7265625" style="7" customWidth="1"/>
    <col min="526" max="526" width="17" style="7" customWidth="1"/>
    <col min="527" max="527" width="19.7265625" style="7" customWidth="1"/>
    <col min="528" max="528" width="15.26953125" style="7" customWidth="1"/>
    <col min="529" max="529" width="20.7265625" style="7" customWidth="1"/>
    <col min="530" max="769" width="8.81640625" style="7"/>
    <col min="770" max="770" width="5.7265625" style="7" customWidth="1"/>
    <col min="771" max="772" width="22.7265625" style="7" customWidth="1"/>
    <col min="773" max="773" width="16.453125" style="7" customWidth="1"/>
    <col min="774" max="774" width="14.81640625" style="7" customWidth="1"/>
    <col min="775" max="775" width="15.26953125" style="7" customWidth="1"/>
    <col min="776" max="776" width="13.54296875" style="7" customWidth="1"/>
    <col min="777" max="777" width="15.1796875" style="7" customWidth="1"/>
    <col min="778" max="778" width="13.54296875" style="7" customWidth="1"/>
    <col min="779" max="779" width="15.1796875" style="7" customWidth="1"/>
    <col min="780" max="780" width="18.54296875" style="7" customWidth="1"/>
    <col min="781" max="781" width="22.7265625" style="7" customWidth="1"/>
    <col min="782" max="782" width="17" style="7" customWidth="1"/>
    <col min="783" max="783" width="19.7265625" style="7" customWidth="1"/>
    <col min="784" max="784" width="15.26953125" style="7" customWidth="1"/>
    <col min="785" max="785" width="20.7265625" style="7" customWidth="1"/>
    <col min="786" max="1025" width="8.81640625" style="7"/>
    <col min="1026" max="1026" width="5.7265625" style="7" customWidth="1"/>
    <col min="1027" max="1028" width="22.7265625" style="7" customWidth="1"/>
    <col min="1029" max="1029" width="16.453125" style="7" customWidth="1"/>
    <col min="1030" max="1030" width="14.81640625" style="7" customWidth="1"/>
    <col min="1031" max="1031" width="15.26953125" style="7" customWidth="1"/>
    <col min="1032" max="1032" width="13.54296875" style="7" customWidth="1"/>
    <col min="1033" max="1033" width="15.1796875" style="7" customWidth="1"/>
    <col min="1034" max="1034" width="13.54296875" style="7" customWidth="1"/>
    <col min="1035" max="1035" width="15.1796875" style="7" customWidth="1"/>
    <col min="1036" max="1036" width="18.54296875" style="7" customWidth="1"/>
    <col min="1037" max="1037" width="22.7265625" style="7" customWidth="1"/>
    <col min="1038" max="1038" width="17" style="7" customWidth="1"/>
    <col min="1039" max="1039" width="19.7265625" style="7" customWidth="1"/>
    <col min="1040" max="1040" width="15.26953125" style="7" customWidth="1"/>
    <col min="1041" max="1041" width="20.7265625" style="7" customWidth="1"/>
    <col min="1042" max="1281" width="8.81640625" style="7"/>
    <col min="1282" max="1282" width="5.7265625" style="7" customWidth="1"/>
    <col min="1283" max="1284" width="22.7265625" style="7" customWidth="1"/>
    <col min="1285" max="1285" width="16.453125" style="7" customWidth="1"/>
    <col min="1286" max="1286" width="14.81640625" style="7" customWidth="1"/>
    <col min="1287" max="1287" width="15.26953125" style="7" customWidth="1"/>
    <col min="1288" max="1288" width="13.54296875" style="7" customWidth="1"/>
    <col min="1289" max="1289" width="15.1796875" style="7" customWidth="1"/>
    <col min="1290" max="1290" width="13.54296875" style="7" customWidth="1"/>
    <col min="1291" max="1291" width="15.1796875" style="7" customWidth="1"/>
    <col min="1292" max="1292" width="18.54296875" style="7" customWidth="1"/>
    <col min="1293" max="1293" width="22.7265625" style="7" customWidth="1"/>
    <col min="1294" max="1294" width="17" style="7" customWidth="1"/>
    <col min="1295" max="1295" width="19.7265625" style="7" customWidth="1"/>
    <col min="1296" max="1296" width="15.26953125" style="7" customWidth="1"/>
    <col min="1297" max="1297" width="20.7265625" style="7" customWidth="1"/>
    <col min="1298" max="1537" width="8.81640625" style="7"/>
    <col min="1538" max="1538" width="5.7265625" style="7" customWidth="1"/>
    <col min="1539" max="1540" width="22.7265625" style="7" customWidth="1"/>
    <col min="1541" max="1541" width="16.453125" style="7" customWidth="1"/>
    <col min="1542" max="1542" width="14.81640625" style="7" customWidth="1"/>
    <col min="1543" max="1543" width="15.26953125" style="7" customWidth="1"/>
    <col min="1544" max="1544" width="13.54296875" style="7" customWidth="1"/>
    <col min="1545" max="1545" width="15.1796875" style="7" customWidth="1"/>
    <col min="1546" max="1546" width="13.54296875" style="7" customWidth="1"/>
    <col min="1547" max="1547" width="15.1796875" style="7" customWidth="1"/>
    <col min="1548" max="1548" width="18.54296875" style="7" customWidth="1"/>
    <col min="1549" max="1549" width="22.7265625" style="7" customWidth="1"/>
    <col min="1550" max="1550" width="17" style="7" customWidth="1"/>
    <col min="1551" max="1551" width="19.7265625" style="7" customWidth="1"/>
    <col min="1552" max="1552" width="15.26953125" style="7" customWidth="1"/>
    <col min="1553" max="1553" width="20.7265625" style="7" customWidth="1"/>
    <col min="1554" max="1793" width="8.81640625" style="7"/>
    <col min="1794" max="1794" width="5.7265625" style="7" customWidth="1"/>
    <col min="1795" max="1796" width="22.7265625" style="7" customWidth="1"/>
    <col min="1797" max="1797" width="16.453125" style="7" customWidth="1"/>
    <col min="1798" max="1798" width="14.81640625" style="7" customWidth="1"/>
    <col min="1799" max="1799" width="15.26953125" style="7" customWidth="1"/>
    <col min="1800" max="1800" width="13.54296875" style="7" customWidth="1"/>
    <col min="1801" max="1801" width="15.1796875" style="7" customWidth="1"/>
    <col min="1802" max="1802" width="13.54296875" style="7" customWidth="1"/>
    <col min="1803" max="1803" width="15.1796875" style="7" customWidth="1"/>
    <col min="1804" max="1804" width="18.54296875" style="7" customWidth="1"/>
    <col min="1805" max="1805" width="22.7265625" style="7" customWidth="1"/>
    <col min="1806" max="1806" width="17" style="7" customWidth="1"/>
    <col min="1807" max="1807" width="19.7265625" style="7" customWidth="1"/>
    <col min="1808" max="1808" width="15.26953125" style="7" customWidth="1"/>
    <col min="1809" max="1809" width="20.7265625" style="7" customWidth="1"/>
    <col min="1810" max="2049" width="8.81640625" style="7"/>
    <col min="2050" max="2050" width="5.7265625" style="7" customWidth="1"/>
    <col min="2051" max="2052" width="22.7265625" style="7" customWidth="1"/>
    <col min="2053" max="2053" width="16.453125" style="7" customWidth="1"/>
    <col min="2054" max="2054" width="14.81640625" style="7" customWidth="1"/>
    <col min="2055" max="2055" width="15.26953125" style="7" customWidth="1"/>
    <col min="2056" max="2056" width="13.54296875" style="7" customWidth="1"/>
    <col min="2057" max="2057" width="15.1796875" style="7" customWidth="1"/>
    <col min="2058" max="2058" width="13.54296875" style="7" customWidth="1"/>
    <col min="2059" max="2059" width="15.1796875" style="7" customWidth="1"/>
    <col min="2060" max="2060" width="18.54296875" style="7" customWidth="1"/>
    <col min="2061" max="2061" width="22.7265625" style="7" customWidth="1"/>
    <col min="2062" max="2062" width="17" style="7" customWidth="1"/>
    <col min="2063" max="2063" width="19.7265625" style="7" customWidth="1"/>
    <col min="2064" max="2064" width="15.26953125" style="7" customWidth="1"/>
    <col min="2065" max="2065" width="20.7265625" style="7" customWidth="1"/>
    <col min="2066" max="2305" width="8.81640625" style="7"/>
    <col min="2306" max="2306" width="5.7265625" style="7" customWidth="1"/>
    <col min="2307" max="2308" width="22.7265625" style="7" customWidth="1"/>
    <col min="2309" max="2309" width="16.453125" style="7" customWidth="1"/>
    <col min="2310" max="2310" width="14.81640625" style="7" customWidth="1"/>
    <col min="2311" max="2311" width="15.26953125" style="7" customWidth="1"/>
    <col min="2312" max="2312" width="13.54296875" style="7" customWidth="1"/>
    <col min="2313" max="2313" width="15.1796875" style="7" customWidth="1"/>
    <col min="2314" max="2314" width="13.54296875" style="7" customWidth="1"/>
    <col min="2315" max="2315" width="15.1796875" style="7" customWidth="1"/>
    <col min="2316" max="2316" width="18.54296875" style="7" customWidth="1"/>
    <col min="2317" max="2317" width="22.7265625" style="7" customWidth="1"/>
    <col min="2318" max="2318" width="17" style="7" customWidth="1"/>
    <col min="2319" max="2319" width="19.7265625" style="7" customWidth="1"/>
    <col min="2320" max="2320" width="15.26953125" style="7" customWidth="1"/>
    <col min="2321" max="2321" width="20.7265625" style="7" customWidth="1"/>
    <col min="2322" max="2561" width="8.81640625" style="7"/>
    <col min="2562" max="2562" width="5.7265625" style="7" customWidth="1"/>
    <col min="2563" max="2564" width="22.7265625" style="7" customWidth="1"/>
    <col min="2565" max="2565" width="16.453125" style="7" customWidth="1"/>
    <col min="2566" max="2566" width="14.81640625" style="7" customWidth="1"/>
    <col min="2567" max="2567" width="15.26953125" style="7" customWidth="1"/>
    <col min="2568" max="2568" width="13.54296875" style="7" customWidth="1"/>
    <col min="2569" max="2569" width="15.1796875" style="7" customWidth="1"/>
    <col min="2570" max="2570" width="13.54296875" style="7" customWidth="1"/>
    <col min="2571" max="2571" width="15.1796875" style="7" customWidth="1"/>
    <col min="2572" max="2572" width="18.54296875" style="7" customWidth="1"/>
    <col min="2573" max="2573" width="22.7265625" style="7" customWidth="1"/>
    <col min="2574" max="2574" width="17" style="7" customWidth="1"/>
    <col min="2575" max="2575" width="19.7265625" style="7" customWidth="1"/>
    <col min="2576" max="2576" width="15.26953125" style="7" customWidth="1"/>
    <col min="2577" max="2577" width="20.7265625" style="7" customWidth="1"/>
    <col min="2578" max="2817" width="8.81640625" style="7"/>
    <col min="2818" max="2818" width="5.7265625" style="7" customWidth="1"/>
    <col min="2819" max="2820" width="22.7265625" style="7" customWidth="1"/>
    <col min="2821" max="2821" width="16.453125" style="7" customWidth="1"/>
    <col min="2822" max="2822" width="14.81640625" style="7" customWidth="1"/>
    <col min="2823" max="2823" width="15.26953125" style="7" customWidth="1"/>
    <col min="2824" max="2824" width="13.54296875" style="7" customWidth="1"/>
    <col min="2825" max="2825" width="15.1796875" style="7" customWidth="1"/>
    <col min="2826" max="2826" width="13.54296875" style="7" customWidth="1"/>
    <col min="2827" max="2827" width="15.1796875" style="7" customWidth="1"/>
    <col min="2828" max="2828" width="18.54296875" style="7" customWidth="1"/>
    <col min="2829" max="2829" width="22.7265625" style="7" customWidth="1"/>
    <col min="2830" max="2830" width="17" style="7" customWidth="1"/>
    <col min="2831" max="2831" width="19.7265625" style="7" customWidth="1"/>
    <col min="2832" max="2832" width="15.26953125" style="7" customWidth="1"/>
    <col min="2833" max="2833" width="20.7265625" style="7" customWidth="1"/>
    <col min="2834" max="3073" width="8.81640625" style="7"/>
    <col min="3074" max="3074" width="5.7265625" style="7" customWidth="1"/>
    <col min="3075" max="3076" width="22.7265625" style="7" customWidth="1"/>
    <col min="3077" max="3077" width="16.453125" style="7" customWidth="1"/>
    <col min="3078" max="3078" width="14.81640625" style="7" customWidth="1"/>
    <col min="3079" max="3079" width="15.26953125" style="7" customWidth="1"/>
    <col min="3080" max="3080" width="13.54296875" style="7" customWidth="1"/>
    <col min="3081" max="3081" width="15.1796875" style="7" customWidth="1"/>
    <col min="3082" max="3082" width="13.54296875" style="7" customWidth="1"/>
    <col min="3083" max="3083" width="15.1796875" style="7" customWidth="1"/>
    <col min="3084" max="3084" width="18.54296875" style="7" customWidth="1"/>
    <col min="3085" max="3085" width="22.7265625" style="7" customWidth="1"/>
    <col min="3086" max="3086" width="17" style="7" customWidth="1"/>
    <col min="3087" max="3087" width="19.7265625" style="7" customWidth="1"/>
    <col min="3088" max="3088" width="15.26953125" style="7" customWidth="1"/>
    <col min="3089" max="3089" width="20.7265625" style="7" customWidth="1"/>
    <col min="3090" max="3329" width="8.81640625" style="7"/>
    <col min="3330" max="3330" width="5.7265625" style="7" customWidth="1"/>
    <col min="3331" max="3332" width="22.7265625" style="7" customWidth="1"/>
    <col min="3333" max="3333" width="16.453125" style="7" customWidth="1"/>
    <col min="3334" max="3334" width="14.81640625" style="7" customWidth="1"/>
    <col min="3335" max="3335" width="15.26953125" style="7" customWidth="1"/>
    <col min="3336" max="3336" width="13.54296875" style="7" customWidth="1"/>
    <col min="3337" max="3337" width="15.1796875" style="7" customWidth="1"/>
    <col min="3338" max="3338" width="13.54296875" style="7" customWidth="1"/>
    <col min="3339" max="3339" width="15.1796875" style="7" customWidth="1"/>
    <col min="3340" max="3340" width="18.54296875" style="7" customWidth="1"/>
    <col min="3341" max="3341" width="22.7265625" style="7" customWidth="1"/>
    <col min="3342" max="3342" width="17" style="7" customWidth="1"/>
    <col min="3343" max="3343" width="19.7265625" style="7" customWidth="1"/>
    <col min="3344" max="3344" width="15.26953125" style="7" customWidth="1"/>
    <col min="3345" max="3345" width="20.7265625" style="7" customWidth="1"/>
    <col min="3346" max="3585" width="8.81640625" style="7"/>
    <col min="3586" max="3586" width="5.7265625" style="7" customWidth="1"/>
    <col min="3587" max="3588" width="22.7265625" style="7" customWidth="1"/>
    <col min="3589" max="3589" width="16.453125" style="7" customWidth="1"/>
    <col min="3590" max="3590" width="14.81640625" style="7" customWidth="1"/>
    <col min="3591" max="3591" width="15.26953125" style="7" customWidth="1"/>
    <col min="3592" max="3592" width="13.54296875" style="7" customWidth="1"/>
    <col min="3593" max="3593" width="15.1796875" style="7" customWidth="1"/>
    <col min="3594" max="3594" width="13.54296875" style="7" customWidth="1"/>
    <col min="3595" max="3595" width="15.1796875" style="7" customWidth="1"/>
    <col min="3596" max="3596" width="18.54296875" style="7" customWidth="1"/>
    <col min="3597" max="3597" width="22.7265625" style="7" customWidth="1"/>
    <col min="3598" max="3598" width="17" style="7" customWidth="1"/>
    <col min="3599" max="3599" width="19.7265625" style="7" customWidth="1"/>
    <col min="3600" max="3600" width="15.26953125" style="7" customWidth="1"/>
    <col min="3601" max="3601" width="20.7265625" style="7" customWidth="1"/>
    <col min="3602" max="3841" width="8.81640625" style="7"/>
    <col min="3842" max="3842" width="5.7265625" style="7" customWidth="1"/>
    <col min="3843" max="3844" width="22.7265625" style="7" customWidth="1"/>
    <col min="3845" max="3845" width="16.453125" style="7" customWidth="1"/>
    <col min="3846" max="3846" width="14.81640625" style="7" customWidth="1"/>
    <col min="3847" max="3847" width="15.26953125" style="7" customWidth="1"/>
    <col min="3848" max="3848" width="13.54296875" style="7" customWidth="1"/>
    <col min="3849" max="3849" width="15.1796875" style="7" customWidth="1"/>
    <col min="3850" max="3850" width="13.54296875" style="7" customWidth="1"/>
    <col min="3851" max="3851" width="15.1796875" style="7" customWidth="1"/>
    <col min="3852" max="3852" width="18.54296875" style="7" customWidth="1"/>
    <col min="3853" max="3853" width="22.7265625" style="7" customWidth="1"/>
    <col min="3854" max="3854" width="17" style="7" customWidth="1"/>
    <col min="3855" max="3855" width="19.7265625" style="7" customWidth="1"/>
    <col min="3856" max="3856" width="15.26953125" style="7" customWidth="1"/>
    <col min="3857" max="3857" width="20.7265625" style="7" customWidth="1"/>
    <col min="3858" max="4097" width="8.81640625" style="7"/>
    <col min="4098" max="4098" width="5.7265625" style="7" customWidth="1"/>
    <col min="4099" max="4100" width="22.7265625" style="7" customWidth="1"/>
    <col min="4101" max="4101" width="16.453125" style="7" customWidth="1"/>
    <col min="4102" max="4102" width="14.81640625" style="7" customWidth="1"/>
    <col min="4103" max="4103" width="15.26953125" style="7" customWidth="1"/>
    <col min="4104" max="4104" width="13.54296875" style="7" customWidth="1"/>
    <col min="4105" max="4105" width="15.1796875" style="7" customWidth="1"/>
    <col min="4106" max="4106" width="13.54296875" style="7" customWidth="1"/>
    <col min="4107" max="4107" width="15.1796875" style="7" customWidth="1"/>
    <col min="4108" max="4108" width="18.54296875" style="7" customWidth="1"/>
    <col min="4109" max="4109" width="22.7265625" style="7" customWidth="1"/>
    <col min="4110" max="4110" width="17" style="7" customWidth="1"/>
    <col min="4111" max="4111" width="19.7265625" style="7" customWidth="1"/>
    <col min="4112" max="4112" width="15.26953125" style="7" customWidth="1"/>
    <col min="4113" max="4113" width="20.7265625" style="7" customWidth="1"/>
    <col min="4114" max="4353" width="8.81640625" style="7"/>
    <col min="4354" max="4354" width="5.7265625" style="7" customWidth="1"/>
    <col min="4355" max="4356" width="22.7265625" style="7" customWidth="1"/>
    <col min="4357" max="4357" width="16.453125" style="7" customWidth="1"/>
    <col min="4358" max="4358" width="14.81640625" style="7" customWidth="1"/>
    <col min="4359" max="4359" width="15.26953125" style="7" customWidth="1"/>
    <col min="4360" max="4360" width="13.54296875" style="7" customWidth="1"/>
    <col min="4361" max="4361" width="15.1796875" style="7" customWidth="1"/>
    <col min="4362" max="4362" width="13.54296875" style="7" customWidth="1"/>
    <col min="4363" max="4363" width="15.1796875" style="7" customWidth="1"/>
    <col min="4364" max="4364" width="18.54296875" style="7" customWidth="1"/>
    <col min="4365" max="4365" width="22.7265625" style="7" customWidth="1"/>
    <col min="4366" max="4366" width="17" style="7" customWidth="1"/>
    <col min="4367" max="4367" width="19.7265625" style="7" customWidth="1"/>
    <col min="4368" max="4368" width="15.26953125" style="7" customWidth="1"/>
    <col min="4369" max="4369" width="20.7265625" style="7" customWidth="1"/>
    <col min="4370" max="4609" width="8.81640625" style="7"/>
    <col min="4610" max="4610" width="5.7265625" style="7" customWidth="1"/>
    <col min="4611" max="4612" width="22.7265625" style="7" customWidth="1"/>
    <col min="4613" max="4613" width="16.453125" style="7" customWidth="1"/>
    <col min="4614" max="4614" width="14.81640625" style="7" customWidth="1"/>
    <col min="4615" max="4615" width="15.26953125" style="7" customWidth="1"/>
    <col min="4616" max="4616" width="13.54296875" style="7" customWidth="1"/>
    <col min="4617" max="4617" width="15.1796875" style="7" customWidth="1"/>
    <col min="4618" max="4618" width="13.54296875" style="7" customWidth="1"/>
    <col min="4619" max="4619" width="15.1796875" style="7" customWidth="1"/>
    <col min="4620" max="4620" width="18.54296875" style="7" customWidth="1"/>
    <col min="4621" max="4621" width="22.7265625" style="7" customWidth="1"/>
    <col min="4622" max="4622" width="17" style="7" customWidth="1"/>
    <col min="4623" max="4623" width="19.7265625" style="7" customWidth="1"/>
    <col min="4624" max="4624" width="15.26953125" style="7" customWidth="1"/>
    <col min="4625" max="4625" width="20.7265625" style="7" customWidth="1"/>
    <col min="4626" max="4865" width="8.81640625" style="7"/>
    <col min="4866" max="4866" width="5.7265625" style="7" customWidth="1"/>
    <col min="4867" max="4868" width="22.7265625" style="7" customWidth="1"/>
    <col min="4869" max="4869" width="16.453125" style="7" customWidth="1"/>
    <col min="4870" max="4870" width="14.81640625" style="7" customWidth="1"/>
    <col min="4871" max="4871" width="15.26953125" style="7" customWidth="1"/>
    <col min="4872" max="4872" width="13.54296875" style="7" customWidth="1"/>
    <col min="4873" max="4873" width="15.1796875" style="7" customWidth="1"/>
    <col min="4874" max="4874" width="13.54296875" style="7" customWidth="1"/>
    <col min="4875" max="4875" width="15.1796875" style="7" customWidth="1"/>
    <col min="4876" max="4876" width="18.54296875" style="7" customWidth="1"/>
    <col min="4877" max="4877" width="22.7265625" style="7" customWidth="1"/>
    <col min="4878" max="4878" width="17" style="7" customWidth="1"/>
    <col min="4879" max="4879" width="19.7265625" style="7" customWidth="1"/>
    <col min="4880" max="4880" width="15.26953125" style="7" customWidth="1"/>
    <col min="4881" max="4881" width="20.7265625" style="7" customWidth="1"/>
    <col min="4882" max="5121" width="8.81640625" style="7"/>
    <col min="5122" max="5122" width="5.7265625" style="7" customWidth="1"/>
    <col min="5123" max="5124" width="22.7265625" style="7" customWidth="1"/>
    <col min="5125" max="5125" width="16.453125" style="7" customWidth="1"/>
    <col min="5126" max="5126" width="14.81640625" style="7" customWidth="1"/>
    <col min="5127" max="5127" width="15.26953125" style="7" customWidth="1"/>
    <col min="5128" max="5128" width="13.54296875" style="7" customWidth="1"/>
    <col min="5129" max="5129" width="15.1796875" style="7" customWidth="1"/>
    <col min="5130" max="5130" width="13.54296875" style="7" customWidth="1"/>
    <col min="5131" max="5131" width="15.1796875" style="7" customWidth="1"/>
    <col min="5132" max="5132" width="18.54296875" style="7" customWidth="1"/>
    <col min="5133" max="5133" width="22.7265625" style="7" customWidth="1"/>
    <col min="5134" max="5134" width="17" style="7" customWidth="1"/>
    <col min="5135" max="5135" width="19.7265625" style="7" customWidth="1"/>
    <col min="5136" max="5136" width="15.26953125" style="7" customWidth="1"/>
    <col min="5137" max="5137" width="20.7265625" style="7" customWidth="1"/>
    <col min="5138" max="5377" width="8.81640625" style="7"/>
    <col min="5378" max="5378" width="5.7265625" style="7" customWidth="1"/>
    <col min="5379" max="5380" width="22.7265625" style="7" customWidth="1"/>
    <col min="5381" max="5381" width="16.453125" style="7" customWidth="1"/>
    <col min="5382" max="5382" width="14.81640625" style="7" customWidth="1"/>
    <col min="5383" max="5383" width="15.26953125" style="7" customWidth="1"/>
    <col min="5384" max="5384" width="13.54296875" style="7" customWidth="1"/>
    <col min="5385" max="5385" width="15.1796875" style="7" customWidth="1"/>
    <col min="5386" max="5386" width="13.54296875" style="7" customWidth="1"/>
    <col min="5387" max="5387" width="15.1796875" style="7" customWidth="1"/>
    <col min="5388" max="5388" width="18.54296875" style="7" customWidth="1"/>
    <col min="5389" max="5389" width="22.7265625" style="7" customWidth="1"/>
    <col min="5390" max="5390" width="17" style="7" customWidth="1"/>
    <col min="5391" max="5391" width="19.7265625" style="7" customWidth="1"/>
    <col min="5392" max="5392" width="15.26953125" style="7" customWidth="1"/>
    <col min="5393" max="5393" width="20.7265625" style="7" customWidth="1"/>
    <col min="5394" max="5633" width="8.81640625" style="7"/>
    <col min="5634" max="5634" width="5.7265625" style="7" customWidth="1"/>
    <col min="5635" max="5636" width="22.7265625" style="7" customWidth="1"/>
    <col min="5637" max="5637" width="16.453125" style="7" customWidth="1"/>
    <col min="5638" max="5638" width="14.81640625" style="7" customWidth="1"/>
    <col min="5639" max="5639" width="15.26953125" style="7" customWidth="1"/>
    <col min="5640" max="5640" width="13.54296875" style="7" customWidth="1"/>
    <col min="5641" max="5641" width="15.1796875" style="7" customWidth="1"/>
    <col min="5642" max="5642" width="13.54296875" style="7" customWidth="1"/>
    <col min="5643" max="5643" width="15.1796875" style="7" customWidth="1"/>
    <col min="5644" max="5644" width="18.54296875" style="7" customWidth="1"/>
    <col min="5645" max="5645" width="22.7265625" style="7" customWidth="1"/>
    <col min="5646" max="5646" width="17" style="7" customWidth="1"/>
    <col min="5647" max="5647" width="19.7265625" style="7" customWidth="1"/>
    <col min="5648" max="5648" width="15.26953125" style="7" customWidth="1"/>
    <col min="5649" max="5649" width="20.7265625" style="7" customWidth="1"/>
    <col min="5650" max="5889" width="8.81640625" style="7"/>
    <col min="5890" max="5890" width="5.7265625" style="7" customWidth="1"/>
    <col min="5891" max="5892" width="22.7265625" style="7" customWidth="1"/>
    <col min="5893" max="5893" width="16.453125" style="7" customWidth="1"/>
    <col min="5894" max="5894" width="14.81640625" style="7" customWidth="1"/>
    <col min="5895" max="5895" width="15.26953125" style="7" customWidth="1"/>
    <col min="5896" max="5896" width="13.54296875" style="7" customWidth="1"/>
    <col min="5897" max="5897" width="15.1796875" style="7" customWidth="1"/>
    <col min="5898" max="5898" width="13.54296875" style="7" customWidth="1"/>
    <col min="5899" max="5899" width="15.1796875" style="7" customWidth="1"/>
    <col min="5900" max="5900" width="18.54296875" style="7" customWidth="1"/>
    <col min="5901" max="5901" width="22.7265625" style="7" customWidth="1"/>
    <col min="5902" max="5902" width="17" style="7" customWidth="1"/>
    <col min="5903" max="5903" width="19.7265625" style="7" customWidth="1"/>
    <col min="5904" max="5904" width="15.26953125" style="7" customWidth="1"/>
    <col min="5905" max="5905" width="20.7265625" style="7" customWidth="1"/>
    <col min="5906" max="6145" width="8.81640625" style="7"/>
    <col min="6146" max="6146" width="5.7265625" style="7" customWidth="1"/>
    <col min="6147" max="6148" width="22.7265625" style="7" customWidth="1"/>
    <col min="6149" max="6149" width="16.453125" style="7" customWidth="1"/>
    <col min="6150" max="6150" width="14.81640625" style="7" customWidth="1"/>
    <col min="6151" max="6151" width="15.26953125" style="7" customWidth="1"/>
    <col min="6152" max="6152" width="13.54296875" style="7" customWidth="1"/>
    <col min="6153" max="6153" width="15.1796875" style="7" customWidth="1"/>
    <col min="6154" max="6154" width="13.54296875" style="7" customWidth="1"/>
    <col min="6155" max="6155" width="15.1796875" style="7" customWidth="1"/>
    <col min="6156" max="6156" width="18.54296875" style="7" customWidth="1"/>
    <col min="6157" max="6157" width="22.7265625" style="7" customWidth="1"/>
    <col min="6158" max="6158" width="17" style="7" customWidth="1"/>
    <col min="6159" max="6159" width="19.7265625" style="7" customWidth="1"/>
    <col min="6160" max="6160" width="15.26953125" style="7" customWidth="1"/>
    <col min="6161" max="6161" width="20.7265625" style="7" customWidth="1"/>
    <col min="6162" max="6401" width="8.81640625" style="7"/>
    <col min="6402" max="6402" width="5.7265625" style="7" customWidth="1"/>
    <col min="6403" max="6404" width="22.7265625" style="7" customWidth="1"/>
    <col min="6405" max="6405" width="16.453125" style="7" customWidth="1"/>
    <col min="6406" max="6406" width="14.81640625" style="7" customWidth="1"/>
    <col min="6407" max="6407" width="15.26953125" style="7" customWidth="1"/>
    <col min="6408" max="6408" width="13.54296875" style="7" customWidth="1"/>
    <col min="6409" max="6409" width="15.1796875" style="7" customWidth="1"/>
    <col min="6410" max="6410" width="13.54296875" style="7" customWidth="1"/>
    <col min="6411" max="6411" width="15.1796875" style="7" customWidth="1"/>
    <col min="6412" max="6412" width="18.54296875" style="7" customWidth="1"/>
    <col min="6413" max="6413" width="22.7265625" style="7" customWidth="1"/>
    <col min="6414" max="6414" width="17" style="7" customWidth="1"/>
    <col min="6415" max="6415" width="19.7265625" style="7" customWidth="1"/>
    <col min="6416" max="6416" width="15.26953125" style="7" customWidth="1"/>
    <col min="6417" max="6417" width="20.7265625" style="7" customWidth="1"/>
    <col min="6418" max="6657" width="8.81640625" style="7"/>
    <col min="6658" max="6658" width="5.7265625" style="7" customWidth="1"/>
    <col min="6659" max="6660" width="22.7265625" style="7" customWidth="1"/>
    <col min="6661" max="6661" width="16.453125" style="7" customWidth="1"/>
    <col min="6662" max="6662" width="14.81640625" style="7" customWidth="1"/>
    <col min="6663" max="6663" width="15.26953125" style="7" customWidth="1"/>
    <col min="6664" max="6664" width="13.54296875" style="7" customWidth="1"/>
    <col min="6665" max="6665" width="15.1796875" style="7" customWidth="1"/>
    <col min="6666" max="6666" width="13.54296875" style="7" customWidth="1"/>
    <col min="6667" max="6667" width="15.1796875" style="7" customWidth="1"/>
    <col min="6668" max="6668" width="18.54296875" style="7" customWidth="1"/>
    <col min="6669" max="6669" width="22.7265625" style="7" customWidth="1"/>
    <col min="6670" max="6670" width="17" style="7" customWidth="1"/>
    <col min="6671" max="6671" width="19.7265625" style="7" customWidth="1"/>
    <col min="6672" max="6672" width="15.26953125" style="7" customWidth="1"/>
    <col min="6673" max="6673" width="20.7265625" style="7" customWidth="1"/>
    <col min="6674" max="6913" width="8.81640625" style="7"/>
    <col min="6914" max="6914" width="5.7265625" style="7" customWidth="1"/>
    <col min="6915" max="6916" width="22.7265625" style="7" customWidth="1"/>
    <col min="6917" max="6917" width="16.453125" style="7" customWidth="1"/>
    <col min="6918" max="6918" width="14.81640625" style="7" customWidth="1"/>
    <col min="6919" max="6919" width="15.26953125" style="7" customWidth="1"/>
    <col min="6920" max="6920" width="13.54296875" style="7" customWidth="1"/>
    <col min="6921" max="6921" width="15.1796875" style="7" customWidth="1"/>
    <col min="6922" max="6922" width="13.54296875" style="7" customWidth="1"/>
    <col min="6923" max="6923" width="15.1796875" style="7" customWidth="1"/>
    <col min="6924" max="6924" width="18.54296875" style="7" customWidth="1"/>
    <col min="6925" max="6925" width="22.7265625" style="7" customWidth="1"/>
    <col min="6926" max="6926" width="17" style="7" customWidth="1"/>
    <col min="6927" max="6927" width="19.7265625" style="7" customWidth="1"/>
    <col min="6928" max="6928" width="15.26953125" style="7" customWidth="1"/>
    <col min="6929" max="6929" width="20.7265625" style="7" customWidth="1"/>
    <col min="6930" max="7169" width="8.81640625" style="7"/>
    <col min="7170" max="7170" width="5.7265625" style="7" customWidth="1"/>
    <col min="7171" max="7172" width="22.7265625" style="7" customWidth="1"/>
    <col min="7173" max="7173" width="16.453125" style="7" customWidth="1"/>
    <col min="7174" max="7174" width="14.81640625" style="7" customWidth="1"/>
    <col min="7175" max="7175" width="15.26953125" style="7" customWidth="1"/>
    <col min="7176" max="7176" width="13.54296875" style="7" customWidth="1"/>
    <col min="7177" max="7177" width="15.1796875" style="7" customWidth="1"/>
    <col min="7178" max="7178" width="13.54296875" style="7" customWidth="1"/>
    <col min="7179" max="7179" width="15.1796875" style="7" customWidth="1"/>
    <col min="7180" max="7180" width="18.54296875" style="7" customWidth="1"/>
    <col min="7181" max="7181" width="22.7265625" style="7" customWidth="1"/>
    <col min="7182" max="7182" width="17" style="7" customWidth="1"/>
    <col min="7183" max="7183" width="19.7265625" style="7" customWidth="1"/>
    <col min="7184" max="7184" width="15.26953125" style="7" customWidth="1"/>
    <col min="7185" max="7185" width="20.7265625" style="7" customWidth="1"/>
    <col min="7186" max="7425" width="8.81640625" style="7"/>
    <col min="7426" max="7426" width="5.7265625" style="7" customWidth="1"/>
    <col min="7427" max="7428" width="22.7265625" style="7" customWidth="1"/>
    <col min="7429" max="7429" width="16.453125" style="7" customWidth="1"/>
    <col min="7430" max="7430" width="14.81640625" style="7" customWidth="1"/>
    <col min="7431" max="7431" width="15.26953125" style="7" customWidth="1"/>
    <col min="7432" max="7432" width="13.54296875" style="7" customWidth="1"/>
    <col min="7433" max="7433" width="15.1796875" style="7" customWidth="1"/>
    <col min="7434" max="7434" width="13.54296875" style="7" customWidth="1"/>
    <col min="7435" max="7435" width="15.1796875" style="7" customWidth="1"/>
    <col min="7436" max="7436" width="18.54296875" style="7" customWidth="1"/>
    <col min="7437" max="7437" width="22.7265625" style="7" customWidth="1"/>
    <col min="7438" max="7438" width="17" style="7" customWidth="1"/>
    <col min="7439" max="7439" width="19.7265625" style="7" customWidth="1"/>
    <col min="7440" max="7440" width="15.26953125" style="7" customWidth="1"/>
    <col min="7441" max="7441" width="20.7265625" style="7" customWidth="1"/>
    <col min="7442" max="7681" width="8.81640625" style="7"/>
    <col min="7682" max="7682" width="5.7265625" style="7" customWidth="1"/>
    <col min="7683" max="7684" width="22.7265625" style="7" customWidth="1"/>
    <col min="7685" max="7685" width="16.453125" style="7" customWidth="1"/>
    <col min="7686" max="7686" width="14.81640625" style="7" customWidth="1"/>
    <col min="7687" max="7687" width="15.26953125" style="7" customWidth="1"/>
    <col min="7688" max="7688" width="13.54296875" style="7" customWidth="1"/>
    <col min="7689" max="7689" width="15.1796875" style="7" customWidth="1"/>
    <col min="7690" max="7690" width="13.54296875" style="7" customWidth="1"/>
    <col min="7691" max="7691" width="15.1796875" style="7" customWidth="1"/>
    <col min="7692" max="7692" width="18.54296875" style="7" customWidth="1"/>
    <col min="7693" max="7693" width="22.7265625" style="7" customWidth="1"/>
    <col min="7694" max="7694" width="17" style="7" customWidth="1"/>
    <col min="7695" max="7695" width="19.7265625" style="7" customWidth="1"/>
    <col min="7696" max="7696" width="15.26953125" style="7" customWidth="1"/>
    <col min="7697" max="7697" width="20.7265625" style="7" customWidth="1"/>
    <col min="7698" max="7937" width="8.81640625" style="7"/>
    <col min="7938" max="7938" width="5.7265625" style="7" customWidth="1"/>
    <col min="7939" max="7940" width="22.7265625" style="7" customWidth="1"/>
    <col min="7941" max="7941" width="16.453125" style="7" customWidth="1"/>
    <col min="7942" max="7942" width="14.81640625" style="7" customWidth="1"/>
    <col min="7943" max="7943" width="15.26953125" style="7" customWidth="1"/>
    <col min="7944" max="7944" width="13.54296875" style="7" customWidth="1"/>
    <col min="7945" max="7945" width="15.1796875" style="7" customWidth="1"/>
    <col min="7946" max="7946" width="13.54296875" style="7" customWidth="1"/>
    <col min="7947" max="7947" width="15.1796875" style="7" customWidth="1"/>
    <col min="7948" max="7948" width="18.54296875" style="7" customWidth="1"/>
    <col min="7949" max="7949" width="22.7265625" style="7" customWidth="1"/>
    <col min="7950" max="7950" width="17" style="7" customWidth="1"/>
    <col min="7951" max="7951" width="19.7265625" style="7" customWidth="1"/>
    <col min="7952" max="7952" width="15.26953125" style="7" customWidth="1"/>
    <col min="7953" max="7953" width="20.7265625" style="7" customWidth="1"/>
    <col min="7954" max="8193" width="8.81640625" style="7"/>
    <col min="8194" max="8194" width="5.7265625" style="7" customWidth="1"/>
    <col min="8195" max="8196" width="22.7265625" style="7" customWidth="1"/>
    <col min="8197" max="8197" width="16.453125" style="7" customWidth="1"/>
    <col min="8198" max="8198" width="14.81640625" style="7" customWidth="1"/>
    <col min="8199" max="8199" width="15.26953125" style="7" customWidth="1"/>
    <col min="8200" max="8200" width="13.54296875" style="7" customWidth="1"/>
    <col min="8201" max="8201" width="15.1796875" style="7" customWidth="1"/>
    <col min="8202" max="8202" width="13.54296875" style="7" customWidth="1"/>
    <col min="8203" max="8203" width="15.1796875" style="7" customWidth="1"/>
    <col min="8204" max="8204" width="18.54296875" style="7" customWidth="1"/>
    <col min="8205" max="8205" width="22.7265625" style="7" customWidth="1"/>
    <col min="8206" max="8206" width="17" style="7" customWidth="1"/>
    <col min="8207" max="8207" width="19.7265625" style="7" customWidth="1"/>
    <col min="8208" max="8208" width="15.26953125" style="7" customWidth="1"/>
    <col min="8209" max="8209" width="20.7265625" style="7" customWidth="1"/>
    <col min="8210" max="8449" width="8.81640625" style="7"/>
    <col min="8450" max="8450" width="5.7265625" style="7" customWidth="1"/>
    <col min="8451" max="8452" width="22.7265625" style="7" customWidth="1"/>
    <col min="8453" max="8453" width="16.453125" style="7" customWidth="1"/>
    <col min="8454" max="8454" width="14.81640625" style="7" customWidth="1"/>
    <col min="8455" max="8455" width="15.26953125" style="7" customWidth="1"/>
    <col min="8456" max="8456" width="13.54296875" style="7" customWidth="1"/>
    <col min="8457" max="8457" width="15.1796875" style="7" customWidth="1"/>
    <col min="8458" max="8458" width="13.54296875" style="7" customWidth="1"/>
    <col min="8459" max="8459" width="15.1796875" style="7" customWidth="1"/>
    <col min="8460" max="8460" width="18.54296875" style="7" customWidth="1"/>
    <col min="8461" max="8461" width="22.7265625" style="7" customWidth="1"/>
    <col min="8462" max="8462" width="17" style="7" customWidth="1"/>
    <col min="8463" max="8463" width="19.7265625" style="7" customWidth="1"/>
    <col min="8464" max="8464" width="15.26953125" style="7" customWidth="1"/>
    <col min="8465" max="8465" width="20.7265625" style="7" customWidth="1"/>
    <col min="8466" max="8705" width="8.81640625" style="7"/>
    <col min="8706" max="8706" width="5.7265625" style="7" customWidth="1"/>
    <col min="8707" max="8708" width="22.7265625" style="7" customWidth="1"/>
    <col min="8709" max="8709" width="16.453125" style="7" customWidth="1"/>
    <col min="8710" max="8710" width="14.81640625" style="7" customWidth="1"/>
    <col min="8711" max="8711" width="15.26953125" style="7" customWidth="1"/>
    <col min="8712" max="8712" width="13.54296875" style="7" customWidth="1"/>
    <col min="8713" max="8713" width="15.1796875" style="7" customWidth="1"/>
    <col min="8714" max="8714" width="13.54296875" style="7" customWidth="1"/>
    <col min="8715" max="8715" width="15.1796875" style="7" customWidth="1"/>
    <col min="8716" max="8716" width="18.54296875" style="7" customWidth="1"/>
    <col min="8717" max="8717" width="22.7265625" style="7" customWidth="1"/>
    <col min="8718" max="8718" width="17" style="7" customWidth="1"/>
    <col min="8719" max="8719" width="19.7265625" style="7" customWidth="1"/>
    <col min="8720" max="8720" width="15.26953125" style="7" customWidth="1"/>
    <col min="8721" max="8721" width="20.7265625" style="7" customWidth="1"/>
    <col min="8722" max="8961" width="8.81640625" style="7"/>
    <col min="8962" max="8962" width="5.7265625" style="7" customWidth="1"/>
    <col min="8963" max="8964" width="22.7265625" style="7" customWidth="1"/>
    <col min="8965" max="8965" width="16.453125" style="7" customWidth="1"/>
    <col min="8966" max="8966" width="14.81640625" style="7" customWidth="1"/>
    <col min="8967" max="8967" width="15.26953125" style="7" customWidth="1"/>
    <col min="8968" max="8968" width="13.54296875" style="7" customWidth="1"/>
    <col min="8969" max="8969" width="15.1796875" style="7" customWidth="1"/>
    <col min="8970" max="8970" width="13.54296875" style="7" customWidth="1"/>
    <col min="8971" max="8971" width="15.1796875" style="7" customWidth="1"/>
    <col min="8972" max="8972" width="18.54296875" style="7" customWidth="1"/>
    <col min="8973" max="8973" width="22.7265625" style="7" customWidth="1"/>
    <col min="8974" max="8974" width="17" style="7" customWidth="1"/>
    <col min="8975" max="8975" width="19.7265625" style="7" customWidth="1"/>
    <col min="8976" max="8976" width="15.26953125" style="7" customWidth="1"/>
    <col min="8977" max="8977" width="20.7265625" style="7" customWidth="1"/>
    <col min="8978" max="9217" width="8.81640625" style="7"/>
    <col min="9218" max="9218" width="5.7265625" style="7" customWidth="1"/>
    <col min="9219" max="9220" width="22.7265625" style="7" customWidth="1"/>
    <col min="9221" max="9221" width="16.453125" style="7" customWidth="1"/>
    <col min="9222" max="9222" width="14.81640625" style="7" customWidth="1"/>
    <col min="9223" max="9223" width="15.26953125" style="7" customWidth="1"/>
    <col min="9224" max="9224" width="13.54296875" style="7" customWidth="1"/>
    <col min="9225" max="9225" width="15.1796875" style="7" customWidth="1"/>
    <col min="9226" max="9226" width="13.54296875" style="7" customWidth="1"/>
    <col min="9227" max="9227" width="15.1796875" style="7" customWidth="1"/>
    <col min="9228" max="9228" width="18.54296875" style="7" customWidth="1"/>
    <col min="9229" max="9229" width="22.7265625" style="7" customWidth="1"/>
    <col min="9230" max="9230" width="17" style="7" customWidth="1"/>
    <col min="9231" max="9231" width="19.7265625" style="7" customWidth="1"/>
    <col min="9232" max="9232" width="15.26953125" style="7" customWidth="1"/>
    <col min="9233" max="9233" width="20.7265625" style="7" customWidth="1"/>
    <col min="9234" max="9473" width="8.81640625" style="7"/>
    <col min="9474" max="9474" width="5.7265625" style="7" customWidth="1"/>
    <col min="9475" max="9476" width="22.7265625" style="7" customWidth="1"/>
    <col min="9477" max="9477" width="16.453125" style="7" customWidth="1"/>
    <col min="9478" max="9478" width="14.81640625" style="7" customWidth="1"/>
    <col min="9479" max="9479" width="15.26953125" style="7" customWidth="1"/>
    <col min="9480" max="9480" width="13.54296875" style="7" customWidth="1"/>
    <col min="9481" max="9481" width="15.1796875" style="7" customWidth="1"/>
    <col min="9482" max="9482" width="13.54296875" style="7" customWidth="1"/>
    <col min="9483" max="9483" width="15.1796875" style="7" customWidth="1"/>
    <col min="9484" max="9484" width="18.54296875" style="7" customWidth="1"/>
    <col min="9485" max="9485" width="22.7265625" style="7" customWidth="1"/>
    <col min="9486" max="9486" width="17" style="7" customWidth="1"/>
    <col min="9487" max="9487" width="19.7265625" style="7" customWidth="1"/>
    <col min="9488" max="9488" width="15.26953125" style="7" customWidth="1"/>
    <col min="9489" max="9489" width="20.7265625" style="7" customWidth="1"/>
    <col min="9490" max="9729" width="8.81640625" style="7"/>
    <col min="9730" max="9730" width="5.7265625" style="7" customWidth="1"/>
    <col min="9731" max="9732" width="22.7265625" style="7" customWidth="1"/>
    <col min="9733" max="9733" width="16.453125" style="7" customWidth="1"/>
    <col min="9734" max="9734" width="14.81640625" style="7" customWidth="1"/>
    <col min="9735" max="9735" width="15.26953125" style="7" customWidth="1"/>
    <col min="9736" max="9736" width="13.54296875" style="7" customWidth="1"/>
    <col min="9737" max="9737" width="15.1796875" style="7" customWidth="1"/>
    <col min="9738" max="9738" width="13.54296875" style="7" customWidth="1"/>
    <col min="9739" max="9739" width="15.1796875" style="7" customWidth="1"/>
    <col min="9740" max="9740" width="18.54296875" style="7" customWidth="1"/>
    <col min="9741" max="9741" width="22.7265625" style="7" customWidth="1"/>
    <col min="9742" max="9742" width="17" style="7" customWidth="1"/>
    <col min="9743" max="9743" width="19.7265625" style="7" customWidth="1"/>
    <col min="9744" max="9744" width="15.26953125" style="7" customWidth="1"/>
    <col min="9745" max="9745" width="20.7265625" style="7" customWidth="1"/>
    <col min="9746" max="9985" width="8.81640625" style="7"/>
    <col min="9986" max="9986" width="5.7265625" style="7" customWidth="1"/>
    <col min="9987" max="9988" width="22.7265625" style="7" customWidth="1"/>
    <col min="9989" max="9989" width="16.453125" style="7" customWidth="1"/>
    <col min="9990" max="9990" width="14.81640625" style="7" customWidth="1"/>
    <col min="9991" max="9991" width="15.26953125" style="7" customWidth="1"/>
    <col min="9992" max="9992" width="13.54296875" style="7" customWidth="1"/>
    <col min="9993" max="9993" width="15.1796875" style="7" customWidth="1"/>
    <col min="9994" max="9994" width="13.54296875" style="7" customWidth="1"/>
    <col min="9995" max="9995" width="15.1796875" style="7" customWidth="1"/>
    <col min="9996" max="9996" width="18.54296875" style="7" customWidth="1"/>
    <col min="9997" max="9997" width="22.7265625" style="7" customWidth="1"/>
    <col min="9998" max="9998" width="17" style="7" customWidth="1"/>
    <col min="9999" max="9999" width="19.7265625" style="7" customWidth="1"/>
    <col min="10000" max="10000" width="15.26953125" style="7" customWidth="1"/>
    <col min="10001" max="10001" width="20.7265625" style="7" customWidth="1"/>
    <col min="10002" max="10241" width="8.81640625" style="7"/>
    <col min="10242" max="10242" width="5.7265625" style="7" customWidth="1"/>
    <col min="10243" max="10244" width="22.7265625" style="7" customWidth="1"/>
    <col min="10245" max="10245" width="16.453125" style="7" customWidth="1"/>
    <col min="10246" max="10246" width="14.81640625" style="7" customWidth="1"/>
    <col min="10247" max="10247" width="15.26953125" style="7" customWidth="1"/>
    <col min="10248" max="10248" width="13.54296875" style="7" customWidth="1"/>
    <col min="10249" max="10249" width="15.1796875" style="7" customWidth="1"/>
    <col min="10250" max="10250" width="13.54296875" style="7" customWidth="1"/>
    <col min="10251" max="10251" width="15.1796875" style="7" customWidth="1"/>
    <col min="10252" max="10252" width="18.54296875" style="7" customWidth="1"/>
    <col min="10253" max="10253" width="22.7265625" style="7" customWidth="1"/>
    <col min="10254" max="10254" width="17" style="7" customWidth="1"/>
    <col min="10255" max="10255" width="19.7265625" style="7" customWidth="1"/>
    <col min="10256" max="10256" width="15.26953125" style="7" customWidth="1"/>
    <col min="10257" max="10257" width="20.7265625" style="7" customWidth="1"/>
    <col min="10258" max="10497" width="8.81640625" style="7"/>
    <col min="10498" max="10498" width="5.7265625" style="7" customWidth="1"/>
    <col min="10499" max="10500" width="22.7265625" style="7" customWidth="1"/>
    <col min="10501" max="10501" width="16.453125" style="7" customWidth="1"/>
    <col min="10502" max="10502" width="14.81640625" style="7" customWidth="1"/>
    <col min="10503" max="10503" width="15.26953125" style="7" customWidth="1"/>
    <col min="10504" max="10504" width="13.54296875" style="7" customWidth="1"/>
    <col min="10505" max="10505" width="15.1796875" style="7" customWidth="1"/>
    <col min="10506" max="10506" width="13.54296875" style="7" customWidth="1"/>
    <col min="10507" max="10507" width="15.1796875" style="7" customWidth="1"/>
    <col min="10508" max="10508" width="18.54296875" style="7" customWidth="1"/>
    <col min="10509" max="10509" width="22.7265625" style="7" customWidth="1"/>
    <col min="10510" max="10510" width="17" style="7" customWidth="1"/>
    <col min="10511" max="10511" width="19.7265625" style="7" customWidth="1"/>
    <col min="10512" max="10512" width="15.26953125" style="7" customWidth="1"/>
    <col min="10513" max="10513" width="20.7265625" style="7" customWidth="1"/>
    <col min="10514" max="10753" width="8.81640625" style="7"/>
    <col min="10754" max="10754" width="5.7265625" style="7" customWidth="1"/>
    <col min="10755" max="10756" width="22.7265625" style="7" customWidth="1"/>
    <col min="10757" max="10757" width="16.453125" style="7" customWidth="1"/>
    <col min="10758" max="10758" width="14.81640625" style="7" customWidth="1"/>
    <col min="10759" max="10759" width="15.26953125" style="7" customWidth="1"/>
    <col min="10760" max="10760" width="13.54296875" style="7" customWidth="1"/>
    <col min="10761" max="10761" width="15.1796875" style="7" customWidth="1"/>
    <col min="10762" max="10762" width="13.54296875" style="7" customWidth="1"/>
    <col min="10763" max="10763" width="15.1796875" style="7" customWidth="1"/>
    <col min="10764" max="10764" width="18.54296875" style="7" customWidth="1"/>
    <col min="10765" max="10765" width="22.7265625" style="7" customWidth="1"/>
    <col min="10766" max="10766" width="17" style="7" customWidth="1"/>
    <col min="10767" max="10767" width="19.7265625" style="7" customWidth="1"/>
    <col min="10768" max="10768" width="15.26953125" style="7" customWidth="1"/>
    <col min="10769" max="10769" width="20.7265625" style="7" customWidth="1"/>
    <col min="10770" max="11009" width="8.81640625" style="7"/>
    <col min="11010" max="11010" width="5.7265625" style="7" customWidth="1"/>
    <col min="11011" max="11012" width="22.7265625" style="7" customWidth="1"/>
    <col min="11013" max="11013" width="16.453125" style="7" customWidth="1"/>
    <col min="11014" max="11014" width="14.81640625" style="7" customWidth="1"/>
    <col min="11015" max="11015" width="15.26953125" style="7" customWidth="1"/>
    <col min="11016" max="11016" width="13.54296875" style="7" customWidth="1"/>
    <col min="11017" max="11017" width="15.1796875" style="7" customWidth="1"/>
    <col min="11018" max="11018" width="13.54296875" style="7" customWidth="1"/>
    <col min="11019" max="11019" width="15.1796875" style="7" customWidth="1"/>
    <col min="11020" max="11020" width="18.54296875" style="7" customWidth="1"/>
    <col min="11021" max="11021" width="22.7265625" style="7" customWidth="1"/>
    <col min="11022" max="11022" width="17" style="7" customWidth="1"/>
    <col min="11023" max="11023" width="19.7265625" style="7" customWidth="1"/>
    <col min="11024" max="11024" width="15.26953125" style="7" customWidth="1"/>
    <col min="11025" max="11025" width="20.7265625" style="7" customWidth="1"/>
    <col min="11026" max="11265" width="8.81640625" style="7"/>
    <col min="11266" max="11266" width="5.7265625" style="7" customWidth="1"/>
    <col min="11267" max="11268" width="22.7265625" style="7" customWidth="1"/>
    <col min="11269" max="11269" width="16.453125" style="7" customWidth="1"/>
    <col min="11270" max="11270" width="14.81640625" style="7" customWidth="1"/>
    <col min="11271" max="11271" width="15.26953125" style="7" customWidth="1"/>
    <col min="11272" max="11272" width="13.54296875" style="7" customWidth="1"/>
    <col min="11273" max="11273" width="15.1796875" style="7" customWidth="1"/>
    <col min="11274" max="11274" width="13.54296875" style="7" customWidth="1"/>
    <col min="11275" max="11275" width="15.1796875" style="7" customWidth="1"/>
    <col min="11276" max="11276" width="18.54296875" style="7" customWidth="1"/>
    <col min="11277" max="11277" width="22.7265625" style="7" customWidth="1"/>
    <col min="11278" max="11278" width="17" style="7" customWidth="1"/>
    <col min="11279" max="11279" width="19.7265625" style="7" customWidth="1"/>
    <col min="11280" max="11280" width="15.26953125" style="7" customWidth="1"/>
    <col min="11281" max="11281" width="20.7265625" style="7" customWidth="1"/>
    <col min="11282" max="11521" width="8.81640625" style="7"/>
    <col min="11522" max="11522" width="5.7265625" style="7" customWidth="1"/>
    <col min="11523" max="11524" width="22.7265625" style="7" customWidth="1"/>
    <col min="11525" max="11525" width="16.453125" style="7" customWidth="1"/>
    <col min="11526" max="11526" width="14.81640625" style="7" customWidth="1"/>
    <col min="11527" max="11527" width="15.26953125" style="7" customWidth="1"/>
    <col min="11528" max="11528" width="13.54296875" style="7" customWidth="1"/>
    <col min="11529" max="11529" width="15.1796875" style="7" customWidth="1"/>
    <col min="11530" max="11530" width="13.54296875" style="7" customWidth="1"/>
    <col min="11531" max="11531" width="15.1796875" style="7" customWidth="1"/>
    <col min="11532" max="11532" width="18.54296875" style="7" customWidth="1"/>
    <col min="11533" max="11533" width="22.7265625" style="7" customWidth="1"/>
    <col min="11534" max="11534" width="17" style="7" customWidth="1"/>
    <col min="11535" max="11535" width="19.7265625" style="7" customWidth="1"/>
    <col min="11536" max="11536" width="15.26953125" style="7" customWidth="1"/>
    <col min="11537" max="11537" width="20.7265625" style="7" customWidth="1"/>
    <col min="11538" max="11777" width="8.81640625" style="7"/>
    <col min="11778" max="11778" width="5.7265625" style="7" customWidth="1"/>
    <col min="11779" max="11780" width="22.7265625" style="7" customWidth="1"/>
    <col min="11781" max="11781" width="16.453125" style="7" customWidth="1"/>
    <col min="11782" max="11782" width="14.81640625" style="7" customWidth="1"/>
    <col min="11783" max="11783" width="15.26953125" style="7" customWidth="1"/>
    <col min="11784" max="11784" width="13.54296875" style="7" customWidth="1"/>
    <col min="11785" max="11785" width="15.1796875" style="7" customWidth="1"/>
    <col min="11786" max="11786" width="13.54296875" style="7" customWidth="1"/>
    <col min="11787" max="11787" width="15.1796875" style="7" customWidth="1"/>
    <col min="11788" max="11788" width="18.54296875" style="7" customWidth="1"/>
    <col min="11789" max="11789" width="22.7265625" style="7" customWidth="1"/>
    <col min="11790" max="11790" width="17" style="7" customWidth="1"/>
    <col min="11791" max="11791" width="19.7265625" style="7" customWidth="1"/>
    <col min="11792" max="11792" width="15.26953125" style="7" customWidth="1"/>
    <col min="11793" max="11793" width="20.7265625" style="7" customWidth="1"/>
    <col min="11794" max="12033" width="8.81640625" style="7"/>
    <col min="12034" max="12034" width="5.7265625" style="7" customWidth="1"/>
    <col min="12035" max="12036" width="22.7265625" style="7" customWidth="1"/>
    <col min="12037" max="12037" width="16.453125" style="7" customWidth="1"/>
    <col min="12038" max="12038" width="14.81640625" style="7" customWidth="1"/>
    <col min="12039" max="12039" width="15.26953125" style="7" customWidth="1"/>
    <col min="12040" max="12040" width="13.54296875" style="7" customWidth="1"/>
    <col min="12041" max="12041" width="15.1796875" style="7" customWidth="1"/>
    <col min="12042" max="12042" width="13.54296875" style="7" customWidth="1"/>
    <col min="12043" max="12043" width="15.1796875" style="7" customWidth="1"/>
    <col min="12044" max="12044" width="18.54296875" style="7" customWidth="1"/>
    <col min="12045" max="12045" width="22.7265625" style="7" customWidth="1"/>
    <col min="12046" max="12046" width="17" style="7" customWidth="1"/>
    <col min="12047" max="12047" width="19.7265625" style="7" customWidth="1"/>
    <col min="12048" max="12048" width="15.26953125" style="7" customWidth="1"/>
    <col min="12049" max="12049" width="20.7265625" style="7" customWidth="1"/>
    <col min="12050" max="12289" width="8.81640625" style="7"/>
    <col min="12290" max="12290" width="5.7265625" style="7" customWidth="1"/>
    <col min="12291" max="12292" width="22.7265625" style="7" customWidth="1"/>
    <col min="12293" max="12293" width="16.453125" style="7" customWidth="1"/>
    <col min="12294" max="12294" width="14.81640625" style="7" customWidth="1"/>
    <col min="12295" max="12295" width="15.26953125" style="7" customWidth="1"/>
    <col min="12296" max="12296" width="13.54296875" style="7" customWidth="1"/>
    <col min="12297" max="12297" width="15.1796875" style="7" customWidth="1"/>
    <col min="12298" max="12298" width="13.54296875" style="7" customWidth="1"/>
    <col min="12299" max="12299" width="15.1796875" style="7" customWidth="1"/>
    <col min="12300" max="12300" width="18.54296875" style="7" customWidth="1"/>
    <col min="12301" max="12301" width="22.7265625" style="7" customWidth="1"/>
    <col min="12302" max="12302" width="17" style="7" customWidth="1"/>
    <col min="12303" max="12303" width="19.7265625" style="7" customWidth="1"/>
    <col min="12304" max="12304" width="15.26953125" style="7" customWidth="1"/>
    <col min="12305" max="12305" width="20.7265625" style="7" customWidth="1"/>
    <col min="12306" max="12545" width="8.81640625" style="7"/>
    <col min="12546" max="12546" width="5.7265625" style="7" customWidth="1"/>
    <col min="12547" max="12548" width="22.7265625" style="7" customWidth="1"/>
    <col min="12549" max="12549" width="16.453125" style="7" customWidth="1"/>
    <col min="12550" max="12550" width="14.81640625" style="7" customWidth="1"/>
    <col min="12551" max="12551" width="15.26953125" style="7" customWidth="1"/>
    <col min="12552" max="12552" width="13.54296875" style="7" customWidth="1"/>
    <col min="12553" max="12553" width="15.1796875" style="7" customWidth="1"/>
    <col min="12554" max="12554" width="13.54296875" style="7" customWidth="1"/>
    <col min="12555" max="12555" width="15.1796875" style="7" customWidth="1"/>
    <col min="12556" max="12556" width="18.54296875" style="7" customWidth="1"/>
    <col min="12557" max="12557" width="22.7265625" style="7" customWidth="1"/>
    <col min="12558" max="12558" width="17" style="7" customWidth="1"/>
    <col min="12559" max="12559" width="19.7265625" style="7" customWidth="1"/>
    <col min="12560" max="12560" width="15.26953125" style="7" customWidth="1"/>
    <col min="12561" max="12561" width="20.7265625" style="7" customWidth="1"/>
    <col min="12562" max="12801" width="8.81640625" style="7"/>
    <col min="12802" max="12802" width="5.7265625" style="7" customWidth="1"/>
    <col min="12803" max="12804" width="22.7265625" style="7" customWidth="1"/>
    <col min="12805" max="12805" width="16.453125" style="7" customWidth="1"/>
    <col min="12806" max="12806" width="14.81640625" style="7" customWidth="1"/>
    <col min="12807" max="12807" width="15.26953125" style="7" customWidth="1"/>
    <col min="12808" max="12808" width="13.54296875" style="7" customWidth="1"/>
    <col min="12809" max="12809" width="15.1796875" style="7" customWidth="1"/>
    <col min="12810" max="12810" width="13.54296875" style="7" customWidth="1"/>
    <col min="12811" max="12811" width="15.1796875" style="7" customWidth="1"/>
    <col min="12812" max="12812" width="18.54296875" style="7" customWidth="1"/>
    <col min="12813" max="12813" width="22.7265625" style="7" customWidth="1"/>
    <col min="12814" max="12814" width="17" style="7" customWidth="1"/>
    <col min="12815" max="12815" width="19.7265625" style="7" customWidth="1"/>
    <col min="12816" max="12816" width="15.26953125" style="7" customWidth="1"/>
    <col min="12817" max="12817" width="20.7265625" style="7" customWidth="1"/>
    <col min="12818" max="13057" width="8.81640625" style="7"/>
    <col min="13058" max="13058" width="5.7265625" style="7" customWidth="1"/>
    <col min="13059" max="13060" width="22.7265625" style="7" customWidth="1"/>
    <col min="13061" max="13061" width="16.453125" style="7" customWidth="1"/>
    <col min="13062" max="13062" width="14.81640625" style="7" customWidth="1"/>
    <col min="13063" max="13063" width="15.26953125" style="7" customWidth="1"/>
    <col min="13064" max="13064" width="13.54296875" style="7" customWidth="1"/>
    <col min="13065" max="13065" width="15.1796875" style="7" customWidth="1"/>
    <col min="13066" max="13066" width="13.54296875" style="7" customWidth="1"/>
    <col min="13067" max="13067" width="15.1796875" style="7" customWidth="1"/>
    <col min="13068" max="13068" width="18.54296875" style="7" customWidth="1"/>
    <col min="13069" max="13069" width="22.7265625" style="7" customWidth="1"/>
    <col min="13070" max="13070" width="17" style="7" customWidth="1"/>
    <col min="13071" max="13071" width="19.7265625" style="7" customWidth="1"/>
    <col min="13072" max="13072" width="15.26953125" style="7" customWidth="1"/>
    <col min="13073" max="13073" width="20.7265625" style="7" customWidth="1"/>
    <col min="13074" max="13313" width="8.81640625" style="7"/>
    <col min="13314" max="13314" width="5.7265625" style="7" customWidth="1"/>
    <col min="13315" max="13316" width="22.7265625" style="7" customWidth="1"/>
    <col min="13317" max="13317" width="16.453125" style="7" customWidth="1"/>
    <col min="13318" max="13318" width="14.81640625" style="7" customWidth="1"/>
    <col min="13319" max="13319" width="15.26953125" style="7" customWidth="1"/>
    <col min="13320" max="13320" width="13.54296875" style="7" customWidth="1"/>
    <col min="13321" max="13321" width="15.1796875" style="7" customWidth="1"/>
    <col min="13322" max="13322" width="13.54296875" style="7" customWidth="1"/>
    <col min="13323" max="13323" width="15.1796875" style="7" customWidth="1"/>
    <col min="13324" max="13324" width="18.54296875" style="7" customWidth="1"/>
    <col min="13325" max="13325" width="22.7265625" style="7" customWidth="1"/>
    <col min="13326" max="13326" width="17" style="7" customWidth="1"/>
    <col min="13327" max="13327" width="19.7265625" style="7" customWidth="1"/>
    <col min="13328" max="13328" width="15.26953125" style="7" customWidth="1"/>
    <col min="13329" max="13329" width="20.7265625" style="7" customWidth="1"/>
    <col min="13330" max="13569" width="8.81640625" style="7"/>
    <col min="13570" max="13570" width="5.7265625" style="7" customWidth="1"/>
    <col min="13571" max="13572" width="22.7265625" style="7" customWidth="1"/>
    <col min="13573" max="13573" width="16.453125" style="7" customWidth="1"/>
    <col min="13574" max="13574" width="14.81640625" style="7" customWidth="1"/>
    <col min="13575" max="13575" width="15.26953125" style="7" customWidth="1"/>
    <col min="13576" max="13576" width="13.54296875" style="7" customWidth="1"/>
    <col min="13577" max="13577" width="15.1796875" style="7" customWidth="1"/>
    <col min="13578" max="13578" width="13.54296875" style="7" customWidth="1"/>
    <col min="13579" max="13579" width="15.1796875" style="7" customWidth="1"/>
    <col min="13580" max="13580" width="18.54296875" style="7" customWidth="1"/>
    <col min="13581" max="13581" width="22.7265625" style="7" customWidth="1"/>
    <col min="13582" max="13582" width="17" style="7" customWidth="1"/>
    <col min="13583" max="13583" width="19.7265625" style="7" customWidth="1"/>
    <col min="13584" max="13584" width="15.26953125" style="7" customWidth="1"/>
    <col min="13585" max="13585" width="20.7265625" style="7" customWidth="1"/>
    <col min="13586" max="13825" width="8.81640625" style="7"/>
    <col min="13826" max="13826" width="5.7265625" style="7" customWidth="1"/>
    <col min="13827" max="13828" width="22.7265625" style="7" customWidth="1"/>
    <col min="13829" max="13829" width="16.453125" style="7" customWidth="1"/>
    <col min="13830" max="13830" width="14.81640625" style="7" customWidth="1"/>
    <col min="13831" max="13831" width="15.26953125" style="7" customWidth="1"/>
    <col min="13832" max="13832" width="13.54296875" style="7" customWidth="1"/>
    <col min="13833" max="13833" width="15.1796875" style="7" customWidth="1"/>
    <col min="13834" max="13834" width="13.54296875" style="7" customWidth="1"/>
    <col min="13835" max="13835" width="15.1796875" style="7" customWidth="1"/>
    <col min="13836" max="13836" width="18.54296875" style="7" customWidth="1"/>
    <col min="13837" max="13837" width="22.7265625" style="7" customWidth="1"/>
    <col min="13838" max="13838" width="17" style="7" customWidth="1"/>
    <col min="13839" max="13839" width="19.7265625" style="7" customWidth="1"/>
    <col min="13840" max="13840" width="15.26953125" style="7" customWidth="1"/>
    <col min="13841" max="13841" width="20.7265625" style="7" customWidth="1"/>
    <col min="13842" max="14081" width="8.81640625" style="7"/>
    <col min="14082" max="14082" width="5.7265625" style="7" customWidth="1"/>
    <col min="14083" max="14084" width="22.7265625" style="7" customWidth="1"/>
    <col min="14085" max="14085" width="16.453125" style="7" customWidth="1"/>
    <col min="14086" max="14086" width="14.81640625" style="7" customWidth="1"/>
    <col min="14087" max="14087" width="15.26953125" style="7" customWidth="1"/>
    <col min="14088" max="14088" width="13.54296875" style="7" customWidth="1"/>
    <col min="14089" max="14089" width="15.1796875" style="7" customWidth="1"/>
    <col min="14090" max="14090" width="13.54296875" style="7" customWidth="1"/>
    <col min="14091" max="14091" width="15.1796875" style="7" customWidth="1"/>
    <col min="14092" max="14092" width="18.54296875" style="7" customWidth="1"/>
    <col min="14093" max="14093" width="22.7265625" style="7" customWidth="1"/>
    <col min="14094" max="14094" width="17" style="7" customWidth="1"/>
    <col min="14095" max="14095" width="19.7265625" style="7" customWidth="1"/>
    <col min="14096" max="14096" width="15.26953125" style="7" customWidth="1"/>
    <col min="14097" max="14097" width="20.7265625" style="7" customWidth="1"/>
    <col min="14098" max="14337" width="8.81640625" style="7"/>
    <col min="14338" max="14338" width="5.7265625" style="7" customWidth="1"/>
    <col min="14339" max="14340" width="22.7265625" style="7" customWidth="1"/>
    <col min="14341" max="14341" width="16.453125" style="7" customWidth="1"/>
    <col min="14342" max="14342" width="14.81640625" style="7" customWidth="1"/>
    <col min="14343" max="14343" width="15.26953125" style="7" customWidth="1"/>
    <col min="14344" max="14344" width="13.54296875" style="7" customWidth="1"/>
    <col min="14345" max="14345" width="15.1796875" style="7" customWidth="1"/>
    <col min="14346" max="14346" width="13.54296875" style="7" customWidth="1"/>
    <col min="14347" max="14347" width="15.1796875" style="7" customWidth="1"/>
    <col min="14348" max="14348" width="18.54296875" style="7" customWidth="1"/>
    <col min="14349" max="14349" width="22.7265625" style="7" customWidth="1"/>
    <col min="14350" max="14350" width="17" style="7" customWidth="1"/>
    <col min="14351" max="14351" width="19.7265625" style="7" customWidth="1"/>
    <col min="14352" max="14352" width="15.26953125" style="7" customWidth="1"/>
    <col min="14353" max="14353" width="20.7265625" style="7" customWidth="1"/>
    <col min="14354" max="14593" width="8.81640625" style="7"/>
    <col min="14594" max="14594" width="5.7265625" style="7" customWidth="1"/>
    <col min="14595" max="14596" width="22.7265625" style="7" customWidth="1"/>
    <col min="14597" max="14597" width="16.453125" style="7" customWidth="1"/>
    <col min="14598" max="14598" width="14.81640625" style="7" customWidth="1"/>
    <col min="14599" max="14599" width="15.26953125" style="7" customWidth="1"/>
    <col min="14600" max="14600" width="13.54296875" style="7" customWidth="1"/>
    <col min="14601" max="14601" width="15.1796875" style="7" customWidth="1"/>
    <col min="14602" max="14602" width="13.54296875" style="7" customWidth="1"/>
    <col min="14603" max="14603" width="15.1796875" style="7" customWidth="1"/>
    <col min="14604" max="14604" width="18.54296875" style="7" customWidth="1"/>
    <col min="14605" max="14605" width="22.7265625" style="7" customWidth="1"/>
    <col min="14606" max="14606" width="17" style="7" customWidth="1"/>
    <col min="14607" max="14607" width="19.7265625" style="7" customWidth="1"/>
    <col min="14608" max="14608" width="15.26953125" style="7" customWidth="1"/>
    <col min="14609" max="14609" width="20.7265625" style="7" customWidth="1"/>
    <col min="14610" max="14849" width="8.81640625" style="7"/>
    <col min="14850" max="14850" width="5.7265625" style="7" customWidth="1"/>
    <col min="14851" max="14852" width="22.7265625" style="7" customWidth="1"/>
    <col min="14853" max="14853" width="16.453125" style="7" customWidth="1"/>
    <col min="14854" max="14854" width="14.81640625" style="7" customWidth="1"/>
    <col min="14855" max="14855" width="15.26953125" style="7" customWidth="1"/>
    <col min="14856" max="14856" width="13.54296875" style="7" customWidth="1"/>
    <col min="14857" max="14857" width="15.1796875" style="7" customWidth="1"/>
    <col min="14858" max="14858" width="13.54296875" style="7" customWidth="1"/>
    <col min="14859" max="14859" width="15.1796875" style="7" customWidth="1"/>
    <col min="14860" max="14860" width="18.54296875" style="7" customWidth="1"/>
    <col min="14861" max="14861" width="22.7265625" style="7" customWidth="1"/>
    <col min="14862" max="14862" width="17" style="7" customWidth="1"/>
    <col min="14863" max="14863" width="19.7265625" style="7" customWidth="1"/>
    <col min="14864" max="14864" width="15.26953125" style="7" customWidth="1"/>
    <col min="14865" max="14865" width="20.7265625" style="7" customWidth="1"/>
    <col min="14866" max="15105" width="8.81640625" style="7"/>
    <col min="15106" max="15106" width="5.7265625" style="7" customWidth="1"/>
    <col min="15107" max="15108" width="22.7265625" style="7" customWidth="1"/>
    <col min="15109" max="15109" width="16.453125" style="7" customWidth="1"/>
    <col min="15110" max="15110" width="14.81640625" style="7" customWidth="1"/>
    <col min="15111" max="15111" width="15.26953125" style="7" customWidth="1"/>
    <col min="15112" max="15112" width="13.54296875" style="7" customWidth="1"/>
    <col min="15113" max="15113" width="15.1796875" style="7" customWidth="1"/>
    <col min="15114" max="15114" width="13.54296875" style="7" customWidth="1"/>
    <col min="15115" max="15115" width="15.1796875" style="7" customWidth="1"/>
    <col min="15116" max="15116" width="18.54296875" style="7" customWidth="1"/>
    <col min="15117" max="15117" width="22.7265625" style="7" customWidth="1"/>
    <col min="15118" max="15118" width="17" style="7" customWidth="1"/>
    <col min="15119" max="15119" width="19.7265625" style="7" customWidth="1"/>
    <col min="15120" max="15120" width="15.26953125" style="7" customWidth="1"/>
    <col min="15121" max="15121" width="20.7265625" style="7" customWidth="1"/>
    <col min="15122" max="15361" width="8.81640625" style="7"/>
    <col min="15362" max="15362" width="5.7265625" style="7" customWidth="1"/>
    <col min="15363" max="15364" width="22.7265625" style="7" customWidth="1"/>
    <col min="15365" max="15365" width="16.453125" style="7" customWidth="1"/>
    <col min="15366" max="15366" width="14.81640625" style="7" customWidth="1"/>
    <col min="15367" max="15367" width="15.26953125" style="7" customWidth="1"/>
    <col min="15368" max="15368" width="13.54296875" style="7" customWidth="1"/>
    <col min="15369" max="15369" width="15.1796875" style="7" customWidth="1"/>
    <col min="15370" max="15370" width="13.54296875" style="7" customWidth="1"/>
    <col min="15371" max="15371" width="15.1796875" style="7" customWidth="1"/>
    <col min="15372" max="15372" width="18.54296875" style="7" customWidth="1"/>
    <col min="15373" max="15373" width="22.7265625" style="7" customWidth="1"/>
    <col min="15374" max="15374" width="17" style="7" customWidth="1"/>
    <col min="15375" max="15375" width="19.7265625" style="7" customWidth="1"/>
    <col min="15376" max="15376" width="15.26953125" style="7" customWidth="1"/>
    <col min="15377" max="15377" width="20.7265625" style="7" customWidth="1"/>
    <col min="15378" max="15617" width="8.81640625" style="7"/>
    <col min="15618" max="15618" width="5.7265625" style="7" customWidth="1"/>
    <col min="15619" max="15620" width="22.7265625" style="7" customWidth="1"/>
    <col min="15621" max="15621" width="16.453125" style="7" customWidth="1"/>
    <col min="15622" max="15622" width="14.81640625" style="7" customWidth="1"/>
    <col min="15623" max="15623" width="15.26953125" style="7" customWidth="1"/>
    <col min="15624" max="15624" width="13.54296875" style="7" customWidth="1"/>
    <col min="15625" max="15625" width="15.1796875" style="7" customWidth="1"/>
    <col min="15626" max="15626" width="13.54296875" style="7" customWidth="1"/>
    <col min="15627" max="15627" width="15.1796875" style="7" customWidth="1"/>
    <col min="15628" max="15628" width="18.54296875" style="7" customWidth="1"/>
    <col min="15629" max="15629" width="22.7265625" style="7" customWidth="1"/>
    <col min="15630" max="15630" width="17" style="7" customWidth="1"/>
    <col min="15631" max="15631" width="19.7265625" style="7" customWidth="1"/>
    <col min="15632" max="15632" width="15.26953125" style="7" customWidth="1"/>
    <col min="15633" max="15633" width="20.7265625" style="7" customWidth="1"/>
    <col min="15634" max="15873" width="8.81640625" style="7"/>
    <col min="15874" max="15874" width="5.7265625" style="7" customWidth="1"/>
    <col min="15875" max="15876" width="22.7265625" style="7" customWidth="1"/>
    <col min="15877" max="15877" width="16.453125" style="7" customWidth="1"/>
    <col min="15878" max="15878" width="14.81640625" style="7" customWidth="1"/>
    <col min="15879" max="15879" width="15.26953125" style="7" customWidth="1"/>
    <col min="15880" max="15880" width="13.54296875" style="7" customWidth="1"/>
    <col min="15881" max="15881" width="15.1796875" style="7" customWidth="1"/>
    <col min="15882" max="15882" width="13.54296875" style="7" customWidth="1"/>
    <col min="15883" max="15883" width="15.1796875" style="7" customWidth="1"/>
    <col min="15884" max="15884" width="18.54296875" style="7" customWidth="1"/>
    <col min="15885" max="15885" width="22.7265625" style="7" customWidth="1"/>
    <col min="15886" max="15886" width="17" style="7" customWidth="1"/>
    <col min="15887" max="15887" width="19.7265625" style="7" customWidth="1"/>
    <col min="15888" max="15888" width="15.26953125" style="7" customWidth="1"/>
    <col min="15889" max="15889" width="20.7265625" style="7" customWidth="1"/>
    <col min="15890" max="16129" width="8.81640625" style="7"/>
    <col min="16130" max="16130" width="5.7265625" style="7" customWidth="1"/>
    <col min="16131" max="16132" width="22.7265625" style="7" customWidth="1"/>
    <col min="16133" max="16133" width="16.453125" style="7" customWidth="1"/>
    <col min="16134" max="16134" width="14.81640625" style="7" customWidth="1"/>
    <col min="16135" max="16135" width="15.26953125" style="7" customWidth="1"/>
    <col min="16136" max="16136" width="13.54296875" style="7" customWidth="1"/>
    <col min="16137" max="16137" width="15.1796875" style="7" customWidth="1"/>
    <col min="16138" max="16138" width="13.54296875" style="7" customWidth="1"/>
    <col min="16139" max="16139" width="15.1796875" style="7" customWidth="1"/>
    <col min="16140" max="16140" width="18.54296875" style="7" customWidth="1"/>
    <col min="16141" max="16141" width="22.7265625" style="7" customWidth="1"/>
    <col min="16142" max="16142" width="17" style="7" customWidth="1"/>
    <col min="16143" max="16143" width="19.7265625" style="7" customWidth="1"/>
    <col min="16144" max="16144" width="15.26953125" style="7" customWidth="1"/>
    <col min="16145" max="16145" width="20.7265625" style="7" customWidth="1"/>
    <col min="16146" max="16384" width="8.81640625" style="7"/>
  </cols>
  <sheetData>
    <row r="1" spans="1:24" ht="18" x14ac:dyDescent="0.35">
      <c r="B1" s="29" t="s">
        <v>45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24" ht="18" x14ac:dyDescent="0.35"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spans="1:24" ht="18" x14ac:dyDescent="0.35">
      <c r="B3" s="717" t="s">
        <v>47</v>
      </c>
      <c r="C3" s="717"/>
      <c r="D3" s="717"/>
      <c r="E3" s="717"/>
      <c r="F3" s="717"/>
      <c r="G3" s="717"/>
      <c r="H3" s="717"/>
      <c r="I3" s="717"/>
      <c r="J3" s="717"/>
      <c r="K3" s="717"/>
      <c r="L3" s="717"/>
      <c r="M3" s="717"/>
      <c r="N3" s="717"/>
      <c r="O3" s="717"/>
      <c r="P3" s="717"/>
    </row>
    <row r="4" spans="1:24" ht="18" x14ac:dyDescent="0.35">
      <c r="B4" s="717" t="s">
        <v>212</v>
      </c>
      <c r="C4" s="717"/>
      <c r="D4" s="717"/>
      <c r="E4" s="717"/>
      <c r="F4" s="717"/>
      <c r="G4" s="717"/>
      <c r="H4" s="717"/>
      <c r="I4" s="717"/>
      <c r="J4" s="717"/>
      <c r="K4" s="717"/>
      <c r="L4" s="717"/>
      <c r="M4" s="717"/>
      <c r="N4" s="717"/>
      <c r="O4" s="717"/>
      <c r="P4" s="717"/>
    </row>
    <row r="5" spans="1:24" ht="18" x14ac:dyDescent="0.35">
      <c r="B5" s="717" t="s">
        <v>255</v>
      </c>
      <c r="C5" s="717"/>
      <c r="D5" s="717"/>
      <c r="E5" s="717"/>
      <c r="F5" s="717"/>
      <c r="G5" s="717"/>
      <c r="H5" s="717"/>
      <c r="I5" s="717"/>
      <c r="J5" s="717"/>
      <c r="K5" s="717"/>
      <c r="L5" s="717"/>
      <c r="M5" s="717"/>
      <c r="N5" s="717"/>
      <c r="O5" s="717"/>
      <c r="P5" s="717"/>
    </row>
    <row r="6" spans="1:24" ht="17.5" x14ac:dyDescent="0.35"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</row>
    <row r="7" spans="1:24" ht="15" customHeight="1" x14ac:dyDescent="0.35">
      <c r="A7" s="705" t="s">
        <v>0</v>
      </c>
      <c r="B7" s="706"/>
      <c r="C7" s="701" t="s">
        <v>53</v>
      </c>
      <c r="D7" s="701" t="s">
        <v>207</v>
      </c>
      <c r="E7" s="701" t="s">
        <v>8</v>
      </c>
      <c r="F7" s="711" t="s">
        <v>9</v>
      </c>
      <c r="G7" s="711"/>
      <c r="H7" s="711"/>
      <c r="I7" s="711"/>
      <c r="J7" s="711"/>
      <c r="K7" s="711"/>
      <c r="L7" s="711" t="s">
        <v>10</v>
      </c>
      <c r="M7" s="711"/>
      <c r="N7" s="710" t="s">
        <v>11</v>
      </c>
      <c r="O7" s="710"/>
      <c r="P7" s="701" t="s">
        <v>46</v>
      </c>
    </row>
    <row r="8" spans="1:24" ht="16.5" customHeight="1" x14ac:dyDescent="0.35">
      <c r="A8" s="707"/>
      <c r="B8" s="708"/>
      <c r="C8" s="702"/>
      <c r="D8" s="702"/>
      <c r="E8" s="702"/>
      <c r="F8" s="711"/>
      <c r="G8" s="711"/>
      <c r="H8" s="711"/>
      <c r="I8" s="711"/>
      <c r="J8" s="711"/>
      <c r="K8" s="711"/>
      <c r="L8" s="711"/>
      <c r="M8" s="711"/>
      <c r="N8" s="710"/>
      <c r="O8" s="710"/>
      <c r="P8" s="702"/>
    </row>
    <row r="9" spans="1:24" ht="26" customHeight="1" x14ac:dyDescent="0.35">
      <c r="A9" s="707"/>
      <c r="B9" s="708"/>
      <c r="C9" s="702"/>
      <c r="D9" s="702"/>
      <c r="E9" s="702"/>
      <c r="F9" s="710" t="s">
        <v>12</v>
      </c>
      <c r="G9" s="710" t="s">
        <v>13</v>
      </c>
      <c r="H9" s="710" t="s">
        <v>14</v>
      </c>
      <c r="I9" s="710" t="s">
        <v>15</v>
      </c>
      <c r="J9" s="710" t="s">
        <v>16</v>
      </c>
      <c r="K9" s="710" t="s">
        <v>17</v>
      </c>
      <c r="L9" s="711" t="s">
        <v>2</v>
      </c>
      <c r="M9" s="711" t="s">
        <v>1</v>
      </c>
      <c r="N9" s="710"/>
      <c r="O9" s="710"/>
      <c r="P9" s="702"/>
    </row>
    <row r="10" spans="1:24" ht="59.25" customHeight="1" x14ac:dyDescent="0.35">
      <c r="A10" s="707"/>
      <c r="B10" s="708"/>
      <c r="C10" s="703"/>
      <c r="D10" s="703"/>
      <c r="E10" s="703"/>
      <c r="F10" s="710"/>
      <c r="G10" s="710"/>
      <c r="H10" s="710"/>
      <c r="I10" s="710"/>
      <c r="J10" s="710"/>
      <c r="K10" s="710"/>
      <c r="L10" s="711"/>
      <c r="M10" s="711"/>
      <c r="N10" s="109" t="s">
        <v>2</v>
      </c>
      <c r="O10" s="109" t="s">
        <v>1</v>
      </c>
      <c r="P10" s="703"/>
    </row>
    <row r="11" spans="1:24" s="25" customFormat="1" ht="17.5" x14ac:dyDescent="0.25">
      <c r="A11" s="713">
        <v>1</v>
      </c>
      <c r="B11" s="714"/>
      <c r="C11" s="31">
        <v>2</v>
      </c>
      <c r="D11" s="31">
        <v>3</v>
      </c>
      <c r="E11" s="31">
        <v>4</v>
      </c>
      <c r="F11" s="31">
        <v>5</v>
      </c>
      <c r="G11" s="31">
        <v>6</v>
      </c>
      <c r="H11" s="31">
        <v>7</v>
      </c>
      <c r="I11" s="31">
        <v>8</v>
      </c>
      <c r="J11" s="31">
        <v>9</v>
      </c>
      <c r="K11" s="31">
        <v>10</v>
      </c>
      <c r="L11" s="31">
        <v>11</v>
      </c>
      <c r="M11" s="31">
        <v>12</v>
      </c>
      <c r="N11" s="31">
        <v>13</v>
      </c>
      <c r="O11" s="31">
        <v>14</v>
      </c>
      <c r="P11" s="31">
        <v>15</v>
      </c>
      <c r="Q11" s="161"/>
    </row>
    <row r="12" spans="1:24" s="25" customFormat="1" ht="24" customHeight="1" x14ac:dyDescent="0.35">
      <c r="A12" s="709">
        <v>1</v>
      </c>
      <c r="B12" s="709"/>
      <c r="C12" s="392" t="s">
        <v>202</v>
      </c>
      <c r="D12" s="392" t="s">
        <v>138</v>
      </c>
      <c r="E12" s="445">
        <f>SUM(E40)</f>
        <v>4019</v>
      </c>
      <c r="F12" s="445">
        <f t="shared" ref="F12:P12" si="0">SUM(F40)</f>
        <v>323</v>
      </c>
      <c r="G12" s="445">
        <f t="shared" si="0"/>
        <v>2206</v>
      </c>
      <c r="H12" s="445">
        <f t="shared" si="0"/>
        <v>329</v>
      </c>
      <c r="I12" s="445">
        <f t="shared" si="0"/>
        <v>1158</v>
      </c>
      <c r="J12" s="445">
        <f t="shared" si="0"/>
        <v>2000</v>
      </c>
      <c r="K12" s="445">
        <f t="shared" si="0"/>
        <v>1339</v>
      </c>
      <c r="L12" s="445">
        <f t="shared" si="0"/>
        <v>4016</v>
      </c>
      <c r="M12" s="445">
        <f t="shared" si="0"/>
        <v>99.925354565812398</v>
      </c>
      <c r="N12" s="445">
        <f t="shared" si="0"/>
        <v>2858</v>
      </c>
      <c r="O12" s="445">
        <f t="shared" si="0"/>
        <v>71.112216969395377</v>
      </c>
      <c r="P12" s="445">
        <f t="shared" si="0"/>
        <v>8.0368250808658868</v>
      </c>
      <c r="Q12" s="162"/>
      <c r="R12" s="108"/>
      <c r="S12" s="108"/>
      <c r="T12" s="163"/>
    </row>
    <row r="13" spans="1:24" s="53" customFormat="1" ht="26.25" customHeight="1" x14ac:dyDescent="0.35">
      <c r="A13" s="704">
        <v>2</v>
      </c>
      <c r="B13" s="704"/>
      <c r="C13" s="392" t="s">
        <v>59</v>
      </c>
      <c r="D13" s="448" t="s">
        <v>203</v>
      </c>
      <c r="E13" s="446">
        <f>E49</f>
        <v>6425</v>
      </c>
      <c r="F13" s="447">
        <f t="shared" ref="F13:P13" si="1">F49</f>
        <v>141</v>
      </c>
      <c r="G13" s="447">
        <f t="shared" si="1"/>
        <v>44</v>
      </c>
      <c r="H13" s="446">
        <f t="shared" si="1"/>
        <v>0</v>
      </c>
      <c r="I13" s="446">
        <f t="shared" si="1"/>
        <v>5678</v>
      </c>
      <c r="J13" s="446">
        <f t="shared" si="1"/>
        <v>15</v>
      </c>
      <c r="K13" s="446">
        <f t="shared" si="1"/>
        <v>282</v>
      </c>
      <c r="L13" s="446">
        <f t="shared" si="1"/>
        <v>5863</v>
      </c>
      <c r="M13" s="446">
        <f t="shared" si="1"/>
        <v>91.252918287937746</v>
      </c>
      <c r="N13" s="446">
        <f t="shared" si="1"/>
        <v>185</v>
      </c>
      <c r="O13" s="446">
        <f t="shared" si="1"/>
        <v>2.8793774319066148</v>
      </c>
      <c r="P13" s="446">
        <f t="shared" si="1"/>
        <v>2.1945525291828796</v>
      </c>
      <c r="Q13" s="164"/>
      <c r="T13" s="165"/>
      <c r="X13" s="30"/>
    </row>
    <row r="14" spans="1:24" s="53" customFormat="1" ht="26.25" customHeight="1" x14ac:dyDescent="0.35">
      <c r="A14" s="704">
        <v>3</v>
      </c>
      <c r="B14" s="704"/>
      <c r="C14" s="392" t="s">
        <v>127</v>
      </c>
      <c r="D14" s="392" t="s">
        <v>128</v>
      </c>
      <c r="E14" s="446">
        <f>E59</f>
        <v>2634</v>
      </c>
      <c r="F14" s="446">
        <f t="shared" ref="F14:P14" si="2">F59</f>
        <v>0</v>
      </c>
      <c r="G14" s="446">
        <f t="shared" si="2"/>
        <v>2531</v>
      </c>
      <c r="H14" s="446">
        <f t="shared" si="2"/>
        <v>103</v>
      </c>
      <c r="I14" s="446">
        <f t="shared" si="2"/>
        <v>0</v>
      </c>
      <c r="J14" s="446">
        <f t="shared" si="2"/>
        <v>0</v>
      </c>
      <c r="K14" s="446">
        <f t="shared" si="2"/>
        <v>0</v>
      </c>
      <c r="L14" s="446">
        <f t="shared" si="2"/>
        <v>2634</v>
      </c>
      <c r="M14" s="446">
        <f t="shared" si="2"/>
        <v>100</v>
      </c>
      <c r="N14" s="446">
        <f t="shared" si="2"/>
        <v>2634</v>
      </c>
      <c r="O14" s="446">
        <f t="shared" si="2"/>
        <v>100</v>
      </c>
      <c r="P14" s="446">
        <f t="shared" si="2"/>
        <v>0</v>
      </c>
      <c r="Q14" s="164"/>
      <c r="T14" s="163"/>
      <c r="X14" s="30"/>
    </row>
    <row r="15" spans="1:24" s="53" customFormat="1" ht="26.25" customHeight="1" x14ac:dyDescent="0.35">
      <c r="A15" s="709">
        <v>4</v>
      </c>
      <c r="B15" s="709"/>
      <c r="C15" s="392" t="s">
        <v>204</v>
      </c>
      <c r="D15" s="392" t="s">
        <v>193</v>
      </c>
      <c r="E15" s="398">
        <f>E72</f>
        <v>2616</v>
      </c>
      <c r="F15" s="398">
        <f t="shared" ref="F15:P15" si="3">F72</f>
        <v>0</v>
      </c>
      <c r="G15" s="398">
        <f t="shared" si="3"/>
        <v>2298</v>
      </c>
      <c r="H15" s="398">
        <f t="shared" si="3"/>
        <v>289</v>
      </c>
      <c r="I15" s="398">
        <f t="shared" si="3"/>
        <v>0</v>
      </c>
      <c r="J15" s="398">
        <f t="shared" si="3"/>
        <v>2587</v>
      </c>
      <c r="K15" s="398">
        <f t="shared" si="3"/>
        <v>0</v>
      </c>
      <c r="L15" s="398">
        <f t="shared" si="3"/>
        <v>5174</v>
      </c>
      <c r="M15" s="398">
        <f t="shared" si="3"/>
        <v>197.78287461773701</v>
      </c>
      <c r="N15" s="398">
        <f t="shared" si="3"/>
        <v>2587</v>
      </c>
      <c r="O15" s="398">
        <f t="shared" si="3"/>
        <v>98.891437308868504</v>
      </c>
      <c r="P15" s="398">
        <f t="shared" si="3"/>
        <v>0</v>
      </c>
      <c r="Q15" s="164"/>
      <c r="T15" s="163"/>
      <c r="X15" s="30"/>
    </row>
    <row r="16" spans="1:24" s="53" customFormat="1" ht="26.25" customHeight="1" x14ac:dyDescent="0.35">
      <c r="A16" s="704">
        <v>5</v>
      </c>
      <c r="B16" s="704"/>
      <c r="C16" s="459" t="s">
        <v>69</v>
      </c>
      <c r="D16" s="459" t="s">
        <v>194</v>
      </c>
      <c r="E16" s="460">
        <f>E80</f>
        <v>1527</v>
      </c>
      <c r="F16" s="460">
        <f t="shared" ref="F16:P16" si="4">F80</f>
        <v>0</v>
      </c>
      <c r="G16" s="460">
        <f t="shared" si="4"/>
        <v>1519</v>
      </c>
      <c r="H16" s="460">
        <f t="shared" si="4"/>
        <v>0</v>
      </c>
      <c r="I16" s="460">
        <f t="shared" si="4"/>
        <v>9</v>
      </c>
      <c r="J16" s="460">
        <f t="shared" si="4"/>
        <v>0</v>
      </c>
      <c r="K16" s="460">
        <f t="shared" si="4"/>
        <v>0</v>
      </c>
      <c r="L16" s="460">
        <f t="shared" si="4"/>
        <v>1528</v>
      </c>
      <c r="M16" s="460">
        <f t="shared" si="4"/>
        <v>100.06548788474132</v>
      </c>
      <c r="N16" s="460">
        <f t="shared" si="4"/>
        <v>1519</v>
      </c>
      <c r="O16" s="460">
        <f t="shared" si="4"/>
        <v>99.476096922069416</v>
      </c>
      <c r="P16" s="460">
        <f t="shared" si="4"/>
        <v>0</v>
      </c>
      <c r="Q16" s="164"/>
      <c r="T16" s="163"/>
      <c r="X16" s="30"/>
    </row>
    <row r="17" spans="1:25" s="53" customFormat="1" ht="26.25" customHeight="1" x14ac:dyDescent="0.35">
      <c r="A17" s="704">
        <v>6</v>
      </c>
      <c r="B17" s="704"/>
      <c r="C17" s="392" t="s">
        <v>195</v>
      </c>
      <c r="D17" s="392" t="s">
        <v>205</v>
      </c>
      <c r="E17" s="446">
        <f>E91</f>
        <v>2116</v>
      </c>
      <c r="F17" s="446">
        <f t="shared" ref="F17:P17" si="5">F91</f>
        <v>76</v>
      </c>
      <c r="G17" s="446">
        <f t="shared" si="5"/>
        <v>1507</v>
      </c>
      <c r="H17" s="446">
        <f t="shared" si="5"/>
        <v>18</v>
      </c>
      <c r="I17" s="446">
        <f t="shared" si="5"/>
        <v>9</v>
      </c>
      <c r="J17" s="446">
        <f t="shared" si="5"/>
        <v>303</v>
      </c>
      <c r="K17" s="446">
        <f t="shared" si="5"/>
        <v>38</v>
      </c>
      <c r="L17" s="446">
        <f t="shared" si="5"/>
        <v>1913</v>
      </c>
      <c r="M17" s="446">
        <f t="shared" si="5"/>
        <v>90.406427221172024</v>
      </c>
      <c r="N17" s="446">
        <f t="shared" si="5"/>
        <v>1601</v>
      </c>
      <c r="O17" s="446">
        <f t="shared" si="5"/>
        <v>75.661625708884685</v>
      </c>
      <c r="P17" s="446">
        <f t="shared" si="5"/>
        <v>3.5916824196597354</v>
      </c>
      <c r="Q17" s="164"/>
      <c r="T17" s="163"/>
      <c r="X17" s="30"/>
      <c r="Y17" s="53">
        <f>40*103</f>
        <v>4120</v>
      </c>
    </row>
    <row r="18" spans="1:25" s="53" customFormat="1" ht="26.25" customHeight="1" x14ac:dyDescent="0.35">
      <c r="A18" s="709">
        <v>7</v>
      </c>
      <c r="B18" s="709"/>
      <c r="C18" s="392" t="s">
        <v>196</v>
      </c>
      <c r="D18" s="459" t="s">
        <v>197</v>
      </c>
      <c r="E18" s="460">
        <f>E103</f>
        <v>6557</v>
      </c>
      <c r="F18" s="460">
        <f t="shared" ref="F18:P18" si="6">F103</f>
        <v>3008</v>
      </c>
      <c r="G18" s="460">
        <f t="shared" si="6"/>
        <v>3484.5</v>
      </c>
      <c r="H18" s="460">
        <f t="shared" si="6"/>
        <v>119</v>
      </c>
      <c r="I18" s="460">
        <f t="shared" si="6"/>
        <v>0</v>
      </c>
      <c r="J18" s="460">
        <f t="shared" si="6"/>
        <v>3008</v>
      </c>
      <c r="K18" s="460">
        <f t="shared" si="6"/>
        <v>0</v>
      </c>
      <c r="L18" s="460">
        <f t="shared" si="6"/>
        <v>6563.5</v>
      </c>
      <c r="M18" s="460">
        <f t="shared" si="6"/>
        <v>100.09913070001527</v>
      </c>
      <c r="N18" s="460">
        <f t="shared" si="6"/>
        <v>3484.5</v>
      </c>
      <c r="O18" s="460">
        <f t="shared" si="6"/>
        <v>53.141680646637177</v>
      </c>
      <c r="P18" s="460">
        <f t="shared" si="6"/>
        <v>45.874637791673024</v>
      </c>
      <c r="Q18" s="164"/>
      <c r="T18" s="165"/>
      <c r="X18" s="30"/>
    </row>
    <row r="19" spans="1:25" s="53" customFormat="1" ht="26.25" customHeight="1" x14ac:dyDescent="0.35">
      <c r="A19" s="704">
        <v>8</v>
      </c>
      <c r="B19" s="704"/>
      <c r="C19" s="392"/>
      <c r="D19" s="392" t="s">
        <v>198</v>
      </c>
      <c r="E19" s="446">
        <f>E110</f>
        <v>2766</v>
      </c>
      <c r="F19" s="446">
        <f t="shared" ref="F19:P19" si="7">F110</f>
        <v>1229</v>
      </c>
      <c r="G19" s="446">
        <f t="shared" si="7"/>
        <v>1211</v>
      </c>
      <c r="H19" s="446">
        <f t="shared" si="7"/>
        <v>0</v>
      </c>
      <c r="I19" s="446">
        <f t="shared" si="7"/>
        <v>9</v>
      </c>
      <c r="J19" s="446">
        <f t="shared" si="7"/>
        <v>0</v>
      </c>
      <c r="K19" s="446">
        <f t="shared" si="7"/>
        <v>0</v>
      </c>
      <c r="L19" s="446">
        <f t="shared" si="7"/>
        <v>2449</v>
      </c>
      <c r="M19" s="446">
        <f t="shared" si="7"/>
        <v>88.539407086044832</v>
      </c>
      <c r="N19" s="446">
        <f t="shared" si="7"/>
        <v>2440</v>
      </c>
      <c r="O19" s="446">
        <f t="shared" si="7"/>
        <v>88.214027476500362</v>
      </c>
      <c r="P19" s="446">
        <f t="shared" si="7"/>
        <v>44.432393347794651</v>
      </c>
      <c r="Q19" s="164"/>
      <c r="T19" s="163"/>
      <c r="X19" s="30"/>
    </row>
    <row r="20" spans="1:25" s="53" customFormat="1" ht="26.25" customHeight="1" x14ac:dyDescent="0.35">
      <c r="A20" s="704">
        <v>9</v>
      </c>
      <c r="B20" s="704"/>
      <c r="C20" s="392" t="s">
        <v>199</v>
      </c>
      <c r="D20" s="392" t="s">
        <v>206</v>
      </c>
      <c r="E20" s="446">
        <f>E118</f>
        <v>2039</v>
      </c>
      <c r="F20" s="446">
        <f t="shared" ref="F20:P20" si="8">F118</f>
        <v>58</v>
      </c>
      <c r="G20" s="446">
        <f t="shared" si="8"/>
        <v>1925</v>
      </c>
      <c r="H20" s="446">
        <f t="shared" si="8"/>
        <v>56</v>
      </c>
      <c r="I20" s="446">
        <f t="shared" si="8"/>
        <v>0</v>
      </c>
      <c r="J20" s="446">
        <f t="shared" si="8"/>
        <v>0</v>
      </c>
      <c r="K20" s="446">
        <f t="shared" si="8"/>
        <v>0</v>
      </c>
      <c r="L20" s="446">
        <f t="shared" si="8"/>
        <v>2039</v>
      </c>
      <c r="M20" s="446">
        <f t="shared" si="8"/>
        <v>100</v>
      </c>
      <c r="N20" s="446">
        <f t="shared" si="8"/>
        <v>2097</v>
      </c>
      <c r="O20" s="446">
        <f t="shared" si="8"/>
        <v>102.84453163315351</v>
      </c>
      <c r="P20" s="446">
        <f t="shared" si="8"/>
        <v>2.8445316331535064</v>
      </c>
      <c r="Q20" s="164"/>
      <c r="T20" s="163"/>
      <c r="X20" s="30"/>
    </row>
    <row r="21" spans="1:25" s="53" customFormat="1" ht="26.25" customHeight="1" x14ac:dyDescent="0.35">
      <c r="A21" s="709">
        <v>10</v>
      </c>
      <c r="B21" s="709"/>
      <c r="C21" s="392" t="s">
        <v>179</v>
      </c>
      <c r="D21" s="392" t="s">
        <v>168</v>
      </c>
      <c r="E21" s="398">
        <f>E129</f>
        <v>1878</v>
      </c>
      <c r="F21" s="398">
        <f t="shared" ref="F21:P21" si="9">F129</f>
        <v>583</v>
      </c>
      <c r="G21" s="398">
        <f t="shared" si="9"/>
        <v>1173</v>
      </c>
      <c r="H21" s="398">
        <f t="shared" si="9"/>
        <v>121</v>
      </c>
      <c r="I21" s="398">
        <f t="shared" si="9"/>
        <v>61</v>
      </c>
      <c r="J21" s="398">
        <f t="shared" si="9"/>
        <v>2085</v>
      </c>
      <c r="K21" s="398">
        <f t="shared" si="9"/>
        <v>0</v>
      </c>
      <c r="L21" s="398">
        <f t="shared" si="9"/>
        <v>1877</v>
      </c>
      <c r="M21" s="398">
        <f t="shared" si="9"/>
        <v>99.946751863684767</v>
      </c>
      <c r="N21" s="398">
        <f t="shared" si="9"/>
        <v>1877</v>
      </c>
      <c r="O21" s="398">
        <f t="shared" si="9"/>
        <v>99.946751863684767</v>
      </c>
      <c r="P21" s="398">
        <f t="shared" si="9"/>
        <v>31.043663471778487</v>
      </c>
      <c r="Q21" s="164"/>
      <c r="T21" s="165"/>
      <c r="X21" s="30"/>
    </row>
    <row r="22" spans="1:25" s="53" customFormat="1" ht="26.25" customHeight="1" x14ac:dyDescent="0.35">
      <c r="A22" s="704">
        <v>11</v>
      </c>
      <c r="B22" s="704"/>
      <c r="C22" s="392" t="s">
        <v>200</v>
      </c>
      <c r="D22" s="392" t="s">
        <v>201</v>
      </c>
      <c r="E22" s="398">
        <f>E141</f>
        <v>1987</v>
      </c>
      <c r="F22" s="398">
        <f t="shared" ref="F22:P22" si="10">F141</f>
        <v>320</v>
      </c>
      <c r="G22" s="398">
        <f t="shared" si="10"/>
        <v>1600</v>
      </c>
      <c r="H22" s="398">
        <f t="shared" si="10"/>
        <v>19</v>
      </c>
      <c r="I22" s="398">
        <f t="shared" si="10"/>
        <v>0</v>
      </c>
      <c r="J22" s="398">
        <f t="shared" si="10"/>
        <v>8</v>
      </c>
      <c r="K22" s="398">
        <f t="shared" si="10"/>
        <v>40</v>
      </c>
      <c r="L22" s="398">
        <f t="shared" si="10"/>
        <v>1939</v>
      </c>
      <c r="M22" s="398">
        <f t="shared" si="10"/>
        <v>97.584297936587816</v>
      </c>
      <c r="N22" s="398">
        <f t="shared" si="10"/>
        <v>1616</v>
      </c>
      <c r="O22" s="398">
        <f t="shared" si="10"/>
        <v>81.328636134876703</v>
      </c>
      <c r="P22" s="398">
        <f t="shared" si="10"/>
        <v>16.104680422747862</v>
      </c>
      <c r="Q22" s="123"/>
      <c r="T22" s="163"/>
      <c r="X22" s="30"/>
    </row>
    <row r="23" spans="1:25" s="53" customFormat="1" ht="26.25" customHeight="1" x14ac:dyDescent="0.35">
      <c r="A23" s="715"/>
      <c r="B23" s="716"/>
      <c r="C23" s="712" t="s">
        <v>2</v>
      </c>
      <c r="D23" s="712"/>
      <c r="E23" s="398">
        <f>SUM(E12:E22)</f>
        <v>34564</v>
      </c>
      <c r="F23" s="398">
        <f>SUM(F12:F22)</f>
        <v>5738</v>
      </c>
      <c r="G23" s="398">
        <f>SUM(G12:G22)</f>
        <v>19498.5</v>
      </c>
      <c r="H23" s="398">
        <f t="shared" ref="H23:K23" si="11">SUM(H12:H22)</f>
        <v>1054</v>
      </c>
      <c r="I23" s="398">
        <f t="shared" si="11"/>
        <v>6924</v>
      </c>
      <c r="J23" s="398">
        <f t="shared" si="11"/>
        <v>10006</v>
      </c>
      <c r="K23" s="398">
        <f t="shared" si="11"/>
        <v>1699</v>
      </c>
      <c r="L23" s="398">
        <f>SUM(L12:L22)</f>
        <v>35995.5</v>
      </c>
      <c r="M23" s="399">
        <f>L23/E23*100</f>
        <v>104.14159240828609</v>
      </c>
      <c r="N23" s="398">
        <f>SUM(N12:N22)</f>
        <v>22898.5</v>
      </c>
      <c r="O23" s="399">
        <f>N23/E23*100</f>
        <v>66.249566022451106</v>
      </c>
      <c r="P23" s="399">
        <f>F23/E23*100</f>
        <v>16.601087837055896</v>
      </c>
      <c r="Q23" s="30"/>
      <c r="R23" s="30"/>
      <c r="S23" s="30"/>
      <c r="X23" s="30"/>
    </row>
    <row r="24" spans="1:25" s="53" customFormat="1" ht="26.25" customHeight="1" x14ac:dyDescent="0.35">
      <c r="A24" s="111"/>
      <c r="B24" s="56"/>
      <c r="C24" s="86"/>
      <c r="D24" s="86"/>
      <c r="E24" s="112"/>
      <c r="F24" s="112"/>
      <c r="G24" s="113"/>
      <c r="H24" s="112"/>
      <c r="I24" s="113"/>
      <c r="J24" s="113"/>
      <c r="K24" s="113"/>
      <c r="L24" s="114"/>
      <c r="M24" s="113"/>
      <c r="N24" s="115"/>
      <c r="O24" s="113"/>
      <c r="P24" s="113"/>
      <c r="X24" s="30"/>
    </row>
    <row r="25" spans="1:25" s="53" customFormat="1" ht="26.25" customHeight="1" x14ac:dyDescent="0.35">
      <c r="A25" s="111"/>
      <c r="B25" s="56"/>
      <c r="C25" s="86"/>
      <c r="D25" s="86"/>
      <c r="E25" s="112"/>
      <c r="F25" s="112"/>
      <c r="G25" s="113"/>
      <c r="H25" s="112"/>
      <c r="I25" s="113"/>
      <c r="J25" s="113"/>
      <c r="K25" s="113"/>
      <c r="L25" s="113"/>
      <c r="M25" s="113"/>
      <c r="N25" s="112"/>
      <c r="O25" s="113"/>
      <c r="P25" s="113"/>
      <c r="X25" s="30"/>
    </row>
    <row r="26" spans="1:25" s="53" customFormat="1" ht="26.25" customHeight="1" x14ac:dyDescent="0.35">
      <c r="A26" s="111"/>
      <c r="B26" s="56"/>
      <c r="C26" s="86"/>
      <c r="D26" s="86"/>
      <c r="E26" s="112"/>
      <c r="F26" s="112"/>
      <c r="G26" s="113"/>
      <c r="H26" s="112"/>
      <c r="I26" s="113"/>
      <c r="J26" s="113"/>
      <c r="K26" s="113"/>
      <c r="L26" s="113"/>
      <c r="M26" s="113"/>
      <c r="N26" s="112"/>
      <c r="O26" s="113"/>
      <c r="P26" s="113"/>
      <c r="X26" s="30"/>
    </row>
    <row r="27" spans="1:25" s="53" customFormat="1" ht="26.25" customHeight="1" x14ac:dyDescent="0.35">
      <c r="A27" s="32">
        <v>1</v>
      </c>
      <c r="B27" s="32">
        <v>1</v>
      </c>
      <c r="C27" s="382" t="s">
        <v>137</v>
      </c>
      <c r="D27" s="654" t="s">
        <v>138</v>
      </c>
      <c r="E27" s="655">
        <v>635</v>
      </c>
      <c r="F27" s="546">
        <v>24</v>
      </c>
      <c r="G27" s="546">
        <v>431</v>
      </c>
      <c r="H27" s="546">
        <v>48</v>
      </c>
      <c r="I27" s="546">
        <v>132</v>
      </c>
      <c r="J27" s="630">
        <v>465</v>
      </c>
      <c r="K27" s="630">
        <v>142</v>
      </c>
      <c r="L27" s="305">
        <f>SUM(F27:I27)</f>
        <v>635</v>
      </c>
      <c r="M27" s="305">
        <f>L27/E27*100</f>
        <v>100</v>
      </c>
      <c r="N27" s="395">
        <f>SUM(F27:H27)</f>
        <v>503</v>
      </c>
      <c r="O27" s="305">
        <f>N27/E27*100</f>
        <v>79.212598425196845</v>
      </c>
      <c r="P27" s="305">
        <f>F27/E27*100</f>
        <v>3.7795275590551181</v>
      </c>
      <c r="Q27" s="108">
        <f>SUM(F27:K27)</f>
        <v>1242</v>
      </c>
      <c r="R27" s="108">
        <f>E27-Q27</f>
        <v>-607</v>
      </c>
      <c r="S27" s="108"/>
    </row>
    <row r="28" spans="1:25" s="53" customFormat="1" ht="26.25" customHeight="1" x14ac:dyDescent="0.35">
      <c r="A28" s="34"/>
      <c r="B28" s="34">
        <v>2</v>
      </c>
      <c r="C28" s="117"/>
      <c r="D28" s="654" t="s">
        <v>139</v>
      </c>
      <c r="E28" s="655">
        <v>236</v>
      </c>
      <c r="F28" s="547">
        <v>51</v>
      </c>
      <c r="G28" s="547">
        <v>136</v>
      </c>
      <c r="H28" s="547">
        <v>27</v>
      </c>
      <c r="I28" s="547">
        <v>22</v>
      </c>
      <c r="J28" s="630">
        <v>121</v>
      </c>
      <c r="K28" s="630">
        <v>63</v>
      </c>
      <c r="L28" s="305">
        <f t="shared" ref="L28:L40" si="12">SUM(F28:I28)</f>
        <v>236</v>
      </c>
      <c r="M28" s="305">
        <f t="shared" ref="M28:M40" si="13">L28/E28*100</f>
        <v>100</v>
      </c>
      <c r="N28" s="395">
        <f t="shared" ref="N28:N40" si="14">SUM(F28:H28)</f>
        <v>214</v>
      </c>
      <c r="O28" s="305">
        <f t="shared" ref="O28:O39" si="15">N28/E28*100</f>
        <v>90.677966101694921</v>
      </c>
      <c r="P28" s="305">
        <f t="shared" ref="P28:P31" si="16">F28/E28*100</f>
        <v>21.610169491525426</v>
      </c>
      <c r="Q28" s="108">
        <f t="shared" ref="Q28:Q39" si="17">SUM(F28:K28)</f>
        <v>420</v>
      </c>
      <c r="R28" s="108">
        <f t="shared" ref="R28:R39" si="18">E28-Q28</f>
        <v>-184</v>
      </c>
      <c r="S28" s="108"/>
    </row>
    <row r="29" spans="1:25" s="53" customFormat="1" ht="26.25" customHeight="1" x14ac:dyDescent="0.35">
      <c r="A29" s="34"/>
      <c r="B29" s="34">
        <v>3</v>
      </c>
      <c r="C29" s="117"/>
      <c r="D29" s="654" t="s">
        <v>140</v>
      </c>
      <c r="E29" s="655">
        <v>356</v>
      </c>
      <c r="F29" s="547">
        <v>32</v>
      </c>
      <c r="G29" s="547">
        <v>153</v>
      </c>
      <c r="H29" s="547">
        <v>41</v>
      </c>
      <c r="I29" s="547">
        <v>130</v>
      </c>
      <c r="J29" s="630">
        <v>112</v>
      </c>
      <c r="K29" s="630">
        <v>143</v>
      </c>
      <c r="L29" s="305">
        <f t="shared" si="12"/>
        <v>356</v>
      </c>
      <c r="M29" s="305">
        <f t="shared" si="13"/>
        <v>100</v>
      </c>
      <c r="N29" s="395">
        <f t="shared" si="14"/>
        <v>226</v>
      </c>
      <c r="O29" s="305">
        <f t="shared" si="15"/>
        <v>63.483146067415731</v>
      </c>
      <c r="P29" s="305">
        <f t="shared" si="16"/>
        <v>8.9887640449438209</v>
      </c>
      <c r="Q29" s="108">
        <f t="shared" si="17"/>
        <v>611</v>
      </c>
      <c r="R29" s="108">
        <f t="shared" si="18"/>
        <v>-255</v>
      </c>
      <c r="S29" s="108"/>
    </row>
    <row r="30" spans="1:25" s="53" customFormat="1" ht="26.25" customHeight="1" x14ac:dyDescent="0.35">
      <c r="A30" s="34"/>
      <c r="B30" s="34">
        <v>4</v>
      </c>
      <c r="C30" s="117"/>
      <c r="D30" s="654" t="s">
        <v>141</v>
      </c>
      <c r="E30" s="655">
        <v>389</v>
      </c>
      <c r="F30" s="398">
        <v>45</v>
      </c>
      <c r="G30" s="398">
        <v>52</v>
      </c>
      <c r="H30" s="398">
        <v>48</v>
      </c>
      <c r="I30" s="398">
        <v>243</v>
      </c>
      <c r="J30" s="630">
        <v>89</v>
      </c>
      <c r="K30" s="630">
        <v>198</v>
      </c>
      <c r="L30" s="305">
        <f t="shared" si="12"/>
        <v>388</v>
      </c>
      <c r="M30" s="305">
        <f t="shared" si="13"/>
        <v>99.742930591259636</v>
      </c>
      <c r="N30" s="395">
        <f t="shared" si="14"/>
        <v>145</v>
      </c>
      <c r="O30" s="305">
        <f t="shared" si="15"/>
        <v>37.275064267352185</v>
      </c>
      <c r="P30" s="305">
        <f t="shared" si="16"/>
        <v>11.568123393316196</v>
      </c>
      <c r="Q30" s="108">
        <f t="shared" si="17"/>
        <v>675</v>
      </c>
      <c r="R30" s="108">
        <f t="shared" si="18"/>
        <v>-286</v>
      </c>
      <c r="S30" s="108"/>
    </row>
    <row r="31" spans="1:25" s="53" customFormat="1" ht="26.25" customHeight="1" x14ac:dyDescent="0.35">
      <c r="A31" s="34"/>
      <c r="B31" s="34">
        <v>5</v>
      </c>
      <c r="C31" s="117"/>
      <c r="D31" s="654" t="s">
        <v>142</v>
      </c>
      <c r="E31" s="655">
        <v>204</v>
      </c>
      <c r="F31" s="398">
        <v>3</v>
      </c>
      <c r="G31" s="398">
        <v>183</v>
      </c>
      <c r="H31" s="398">
        <v>5</v>
      </c>
      <c r="I31" s="398">
        <v>12</v>
      </c>
      <c r="J31" s="630">
        <v>112</v>
      </c>
      <c r="K31" s="630">
        <v>83</v>
      </c>
      <c r="L31" s="305">
        <f t="shared" si="12"/>
        <v>203</v>
      </c>
      <c r="M31" s="305">
        <f t="shared" si="13"/>
        <v>99.509803921568633</v>
      </c>
      <c r="N31" s="395">
        <f t="shared" si="14"/>
        <v>191</v>
      </c>
      <c r="O31" s="305">
        <f t="shared" si="15"/>
        <v>93.627450980392155</v>
      </c>
      <c r="P31" s="305">
        <f t="shared" si="16"/>
        <v>1.4705882352941175</v>
      </c>
      <c r="Q31" s="108">
        <f t="shared" si="17"/>
        <v>398</v>
      </c>
      <c r="R31" s="108">
        <f t="shared" si="18"/>
        <v>-194</v>
      </c>
      <c r="S31" s="108"/>
    </row>
    <row r="32" spans="1:25" s="53" customFormat="1" ht="26.25" customHeight="1" x14ac:dyDescent="0.35">
      <c r="A32" s="34"/>
      <c r="B32" s="34">
        <v>6</v>
      </c>
      <c r="C32" s="117"/>
      <c r="D32" s="654" t="s">
        <v>143</v>
      </c>
      <c r="E32" s="655">
        <v>270</v>
      </c>
      <c r="F32" s="446">
        <v>9</v>
      </c>
      <c r="G32" s="446">
        <v>164</v>
      </c>
      <c r="H32" s="446">
        <v>23</v>
      </c>
      <c r="I32" s="446">
        <v>74</v>
      </c>
      <c r="J32" s="630">
        <v>186</v>
      </c>
      <c r="K32" s="630">
        <v>65</v>
      </c>
      <c r="L32" s="305">
        <f t="shared" si="12"/>
        <v>270</v>
      </c>
      <c r="M32" s="305">
        <f t="shared" si="13"/>
        <v>100</v>
      </c>
      <c r="N32" s="395">
        <f t="shared" si="14"/>
        <v>196</v>
      </c>
      <c r="O32" s="305">
        <f t="shared" si="15"/>
        <v>72.592592592592595</v>
      </c>
      <c r="P32" s="305">
        <f>F32/E32*100</f>
        <v>3.3333333333333335</v>
      </c>
      <c r="Q32" s="108">
        <f t="shared" si="17"/>
        <v>521</v>
      </c>
      <c r="R32" s="108">
        <f t="shared" si="18"/>
        <v>-251</v>
      </c>
      <c r="S32" s="108"/>
    </row>
    <row r="33" spans="1:24" s="53" customFormat="1" ht="26.25" customHeight="1" x14ac:dyDescent="0.35">
      <c r="A33" s="34"/>
      <c r="B33" s="34">
        <v>7</v>
      </c>
      <c r="C33" s="117"/>
      <c r="D33" s="654" t="s">
        <v>144</v>
      </c>
      <c r="E33" s="655">
        <v>453</v>
      </c>
      <c r="F33" s="446">
        <v>41</v>
      </c>
      <c r="G33" s="446">
        <v>17</v>
      </c>
      <c r="H33" s="446">
        <v>14</v>
      </c>
      <c r="I33" s="446">
        <v>381</v>
      </c>
      <c r="J33" s="630">
        <v>45</v>
      </c>
      <c r="K33" s="630">
        <v>265</v>
      </c>
      <c r="L33" s="305">
        <f t="shared" si="12"/>
        <v>453</v>
      </c>
      <c r="M33" s="305">
        <f t="shared" si="13"/>
        <v>100</v>
      </c>
      <c r="N33" s="395">
        <f t="shared" si="14"/>
        <v>72</v>
      </c>
      <c r="O33" s="305">
        <f t="shared" si="15"/>
        <v>15.894039735099339</v>
      </c>
      <c r="P33" s="305">
        <f>F33/E33*100</f>
        <v>9.0507726269315683</v>
      </c>
      <c r="Q33" s="108">
        <f t="shared" si="17"/>
        <v>763</v>
      </c>
      <c r="R33" s="108">
        <f t="shared" si="18"/>
        <v>-310</v>
      </c>
      <c r="S33" s="108"/>
    </row>
    <row r="34" spans="1:24" s="53" customFormat="1" ht="26.25" customHeight="1" x14ac:dyDescent="0.35">
      <c r="A34" s="34"/>
      <c r="B34" s="34">
        <v>8</v>
      </c>
      <c r="C34" s="117"/>
      <c r="D34" s="654" t="s">
        <v>145</v>
      </c>
      <c r="E34" s="655">
        <v>89</v>
      </c>
      <c r="F34" s="446">
        <v>6</v>
      </c>
      <c r="G34" s="446">
        <v>80</v>
      </c>
      <c r="H34" s="446">
        <v>3</v>
      </c>
      <c r="I34" s="446">
        <v>0</v>
      </c>
      <c r="J34" s="630">
        <v>81</v>
      </c>
      <c r="K34" s="630">
        <v>0</v>
      </c>
      <c r="L34" s="305">
        <f t="shared" si="12"/>
        <v>89</v>
      </c>
      <c r="M34" s="305">
        <f t="shared" si="13"/>
        <v>100</v>
      </c>
      <c r="N34" s="395">
        <f t="shared" si="14"/>
        <v>89</v>
      </c>
      <c r="O34" s="305">
        <f t="shared" si="15"/>
        <v>100</v>
      </c>
      <c r="P34" s="305">
        <f t="shared" ref="P34:P39" si="19">F34/E34*100</f>
        <v>6.7415730337078648</v>
      </c>
      <c r="Q34" s="108">
        <f t="shared" si="17"/>
        <v>170</v>
      </c>
      <c r="R34" s="108">
        <f t="shared" si="18"/>
        <v>-81</v>
      </c>
      <c r="S34" s="108"/>
    </row>
    <row r="35" spans="1:24" s="53" customFormat="1" ht="26.25" customHeight="1" x14ac:dyDescent="0.35">
      <c r="A35" s="34"/>
      <c r="B35" s="34">
        <v>9</v>
      </c>
      <c r="C35" s="117"/>
      <c r="D35" s="654" t="s">
        <v>146</v>
      </c>
      <c r="E35" s="655">
        <v>200</v>
      </c>
      <c r="F35" s="446">
        <v>9</v>
      </c>
      <c r="G35" s="446">
        <v>186</v>
      </c>
      <c r="H35" s="446">
        <v>5</v>
      </c>
      <c r="I35" s="446">
        <v>0</v>
      </c>
      <c r="J35" s="630">
        <v>195</v>
      </c>
      <c r="K35" s="630">
        <v>0</v>
      </c>
      <c r="L35" s="305">
        <f t="shared" si="12"/>
        <v>200</v>
      </c>
      <c r="M35" s="305">
        <f t="shared" si="13"/>
        <v>100</v>
      </c>
      <c r="N35" s="395">
        <f t="shared" si="14"/>
        <v>200</v>
      </c>
      <c r="O35" s="305">
        <f t="shared" si="15"/>
        <v>100</v>
      </c>
      <c r="P35" s="305">
        <f t="shared" si="19"/>
        <v>4.5</v>
      </c>
      <c r="Q35" s="108">
        <f t="shared" si="17"/>
        <v>395</v>
      </c>
      <c r="R35" s="108">
        <f t="shared" si="18"/>
        <v>-195</v>
      </c>
      <c r="S35" s="108"/>
    </row>
    <row r="36" spans="1:24" s="53" customFormat="1" ht="26.25" customHeight="1" x14ac:dyDescent="0.35">
      <c r="A36" s="34"/>
      <c r="B36" s="34">
        <v>10</v>
      </c>
      <c r="C36" s="117"/>
      <c r="D36" s="654" t="s">
        <v>147</v>
      </c>
      <c r="E36" s="655">
        <v>142</v>
      </c>
      <c r="F36" s="398">
        <v>18</v>
      </c>
      <c r="G36" s="398">
        <v>105</v>
      </c>
      <c r="H36" s="398">
        <v>19</v>
      </c>
      <c r="I36" s="398">
        <v>0</v>
      </c>
      <c r="J36" s="630">
        <v>102</v>
      </c>
      <c r="K36" s="630">
        <v>5</v>
      </c>
      <c r="L36" s="305">
        <f t="shared" si="12"/>
        <v>142</v>
      </c>
      <c r="M36" s="305">
        <f t="shared" si="13"/>
        <v>100</v>
      </c>
      <c r="N36" s="395">
        <f t="shared" si="14"/>
        <v>142</v>
      </c>
      <c r="O36" s="305">
        <f t="shared" si="15"/>
        <v>100</v>
      </c>
      <c r="P36" s="305">
        <f t="shared" si="19"/>
        <v>12.676056338028168</v>
      </c>
      <c r="Q36" s="108">
        <f t="shared" si="17"/>
        <v>249</v>
      </c>
      <c r="R36" s="108">
        <f t="shared" si="18"/>
        <v>-107</v>
      </c>
      <c r="S36" s="108"/>
    </row>
    <row r="37" spans="1:24" s="53" customFormat="1" ht="26.25" customHeight="1" x14ac:dyDescent="0.35">
      <c r="A37" s="34"/>
      <c r="B37" s="34">
        <v>11</v>
      </c>
      <c r="C37" s="117"/>
      <c r="D37" s="654" t="s">
        <v>148</v>
      </c>
      <c r="E37" s="655">
        <v>264</v>
      </c>
      <c r="F37" s="398">
        <v>36</v>
      </c>
      <c r="G37" s="398">
        <v>226</v>
      </c>
      <c r="H37" s="398">
        <v>2</v>
      </c>
      <c r="I37" s="398">
        <v>0</v>
      </c>
      <c r="J37" s="630">
        <v>238</v>
      </c>
      <c r="K37" s="630">
        <v>0</v>
      </c>
      <c r="L37" s="305">
        <f t="shared" si="12"/>
        <v>264</v>
      </c>
      <c r="M37" s="305">
        <f t="shared" si="13"/>
        <v>100</v>
      </c>
      <c r="N37" s="395">
        <f t="shared" si="14"/>
        <v>264</v>
      </c>
      <c r="O37" s="305">
        <f t="shared" si="15"/>
        <v>100</v>
      </c>
      <c r="P37" s="305">
        <f t="shared" si="19"/>
        <v>13.636363636363635</v>
      </c>
      <c r="Q37" s="108">
        <f t="shared" si="17"/>
        <v>502</v>
      </c>
      <c r="R37" s="108">
        <f t="shared" si="18"/>
        <v>-238</v>
      </c>
      <c r="S37" s="108"/>
    </row>
    <row r="38" spans="1:24" s="53" customFormat="1" ht="26.25" customHeight="1" x14ac:dyDescent="0.35">
      <c r="A38" s="34"/>
      <c r="B38" s="34">
        <v>12</v>
      </c>
      <c r="C38" s="117"/>
      <c r="D38" s="654" t="s">
        <v>149</v>
      </c>
      <c r="E38" s="655">
        <v>501</v>
      </c>
      <c r="F38" s="398">
        <v>45</v>
      </c>
      <c r="G38" s="398">
        <v>223</v>
      </c>
      <c r="H38" s="398">
        <v>84</v>
      </c>
      <c r="I38" s="398">
        <v>149</v>
      </c>
      <c r="J38" s="630">
        <v>93</v>
      </c>
      <c r="K38" s="630">
        <v>371</v>
      </c>
      <c r="L38" s="305">
        <f t="shared" si="12"/>
        <v>501</v>
      </c>
      <c r="M38" s="305">
        <f t="shared" si="13"/>
        <v>100</v>
      </c>
      <c r="N38" s="395">
        <f t="shared" si="14"/>
        <v>352</v>
      </c>
      <c r="O38" s="305">
        <f>N38/E38*100</f>
        <v>70.259481037924161</v>
      </c>
      <c r="P38" s="305">
        <f t="shared" si="19"/>
        <v>8.9820359281437128</v>
      </c>
      <c r="Q38" s="108">
        <f t="shared" si="17"/>
        <v>965</v>
      </c>
      <c r="R38" s="108">
        <f t="shared" si="18"/>
        <v>-464</v>
      </c>
      <c r="S38" s="108"/>
    </row>
    <row r="39" spans="1:24" s="53" customFormat="1" ht="26.25" customHeight="1" x14ac:dyDescent="0.35">
      <c r="A39" s="34"/>
      <c r="B39" s="54">
        <v>13</v>
      </c>
      <c r="C39" s="122"/>
      <c r="D39" s="654" t="s">
        <v>150</v>
      </c>
      <c r="E39" s="655">
        <v>280</v>
      </c>
      <c r="F39" s="398">
        <v>4</v>
      </c>
      <c r="G39" s="398">
        <v>250</v>
      </c>
      <c r="H39" s="398">
        <v>10</v>
      </c>
      <c r="I39" s="398">
        <v>15</v>
      </c>
      <c r="J39" s="630">
        <v>161</v>
      </c>
      <c r="K39" s="630">
        <v>4</v>
      </c>
      <c r="L39" s="305">
        <f t="shared" si="12"/>
        <v>279</v>
      </c>
      <c r="M39" s="305">
        <f t="shared" si="13"/>
        <v>99.642857142857139</v>
      </c>
      <c r="N39" s="395">
        <f t="shared" si="14"/>
        <v>264</v>
      </c>
      <c r="O39" s="305">
        <f t="shared" si="15"/>
        <v>94.285714285714278</v>
      </c>
      <c r="P39" s="305">
        <f t="shared" si="19"/>
        <v>1.4285714285714286</v>
      </c>
      <c r="Q39" s="108">
        <f t="shared" si="17"/>
        <v>444</v>
      </c>
      <c r="R39" s="108">
        <f t="shared" si="18"/>
        <v>-164</v>
      </c>
      <c r="S39" s="108"/>
    </row>
    <row r="40" spans="1:24" s="53" customFormat="1" ht="26.25" customHeight="1" x14ac:dyDescent="0.35">
      <c r="A40" s="95"/>
      <c r="B40" s="95"/>
      <c r="C40" s="497" t="s">
        <v>191</v>
      </c>
      <c r="D40" s="650"/>
      <c r="E40" s="651">
        <f>SUM(E27:E39)</f>
        <v>4019</v>
      </c>
      <c r="F40" s="651">
        <f t="shared" ref="F40:K40" si="20">SUM(F27:F39)</f>
        <v>323</v>
      </c>
      <c r="G40" s="651">
        <f t="shared" si="20"/>
        <v>2206</v>
      </c>
      <c r="H40" s="651">
        <f t="shared" si="20"/>
        <v>329</v>
      </c>
      <c r="I40" s="651">
        <f t="shared" si="20"/>
        <v>1158</v>
      </c>
      <c r="J40" s="652">
        <f>SUM(J27:J39)</f>
        <v>2000</v>
      </c>
      <c r="K40" s="652">
        <f t="shared" si="20"/>
        <v>1339</v>
      </c>
      <c r="L40" s="397">
        <f t="shared" si="12"/>
        <v>4016</v>
      </c>
      <c r="M40" s="397">
        <f t="shared" si="13"/>
        <v>99.925354565812398</v>
      </c>
      <c r="N40" s="653">
        <f t="shared" si="14"/>
        <v>2858</v>
      </c>
      <c r="O40" s="652">
        <f t="shared" ref="O40:O59" si="21">N40/E40*100</f>
        <v>71.112216969395377</v>
      </c>
      <c r="P40" s="652">
        <f t="shared" ref="P40:P59" si="22">F40/E40*100</f>
        <v>8.0368250808658868</v>
      </c>
      <c r="Q40" s="108">
        <f>SUM(F40:K40)</f>
        <v>7355</v>
      </c>
      <c r="R40" s="108">
        <f>E40-Q40</f>
        <v>-3336</v>
      </c>
      <c r="S40" s="108"/>
      <c r="T40" s="108"/>
    </row>
    <row r="41" spans="1:24" s="53" customFormat="1" ht="26.25" customHeight="1" x14ac:dyDescent="0.35">
      <c r="A41" s="32">
        <v>2</v>
      </c>
      <c r="B41" s="32">
        <v>1</v>
      </c>
      <c r="C41" s="384" t="s">
        <v>203</v>
      </c>
      <c r="D41" s="551" t="s">
        <v>60</v>
      </c>
      <c r="E41" s="498">
        <v>220</v>
      </c>
      <c r="F41" s="495">
        <v>0</v>
      </c>
      <c r="G41" s="495">
        <v>0</v>
      </c>
      <c r="H41" s="495">
        <v>0</v>
      </c>
      <c r="I41" s="495">
        <v>220</v>
      </c>
      <c r="J41" s="495">
        <v>0</v>
      </c>
      <c r="K41" s="495">
        <v>0</v>
      </c>
      <c r="L41" s="465">
        <f>SUM(F41:J41)</f>
        <v>220</v>
      </c>
      <c r="M41" s="490">
        <f>L41/E41*100</f>
        <v>100</v>
      </c>
      <c r="N41" s="490">
        <f>SUM(F41:H41)</f>
        <v>0</v>
      </c>
      <c r="O41" s="490">
        <f>N41/E41*100</f>
        <v>0</v>
      </c>
      <c r="P41" s="490">
        <f>F41/E41*100</f>
        <v>0</v>
      </c>
      <c r="Q41" s="172">
        <v>0</v>
      </c>
      <c r="R41" s="172">
        <v>0</v>
      </c>
      <c r="S41" s="108"/>
      <c r="X41" s="30"/>
    </row>
    <row r="42" spans="1:24" s="53" customFormat="1" ht="26.25" customHeight="1" x14ac:dyDescent="0.35">
      <c r="A42" s="34"/>
      <c r="B42" s="34">
        <v>2</v>
      </c>
      <c r="C42" s="117"/>
      <c r="D42" s="551" t="s">
        <v>61</v>
      </c>
      <c r="E42" s="498">
        <v>446</v>
      </c>
      <c r="F42" s="460">
        <v>0</v>
      </c>
      <c r="G42" s="460">
        <v>23</v>
      </c>
      <c r="H42" s="460">
        <v>0</v>
      </c>
      <c r="I42" s="460">
        <v>400</v>
      </c>
      <c r="J42" s="460">
        <v>0</v>
      </c>
      <c r="K42" s="460">
        <v>0</v>
      </c>
      <c r="L42" s="465">
        <f>SUM(F42:I42)</f>
        <v>423</v>
      </c>
      <c r="M42" s="490">
        <f t="shared" ref="M42:M48" si="23">L42/E42*100</f>
        <v>94.843049327354251</v>
      </c>
      <c r="N42" s="490">
        <f t="shared" ref="N42:N49" si="24">SUM(F42:H42)</f>
        <v>23</v>
      </c>
      <c r="O42" s="490">
        <f>N42/E42*100</f>
        <v>5.1569506726457401</v>
      </c>
      <c r="P42" s="490">
        <f t="shared" ref="P42:P49" si="25">F42/E42*100</f>
        <v>0</v>
      </c>
      <c r="Q42" s="172">
        <v>0</v>
      </c>
      <c r="R42" s="172">
        <v>0</v>
      </c>
      <c r="S42" s="108"/>
      <c r="U42" s="53" t="s">
        <v>163</v>
      </c>
      <c r="X42" s="30"/>
    </row>
    <row r="43" spans="1:24" s="53" customFormat="1" ht="26.25" customHeight="1" x14ac:dyDescent="0.35">
      <c r="A43" s="34"/>
      <c r="B43" s="34">
        <v>3</v>
      </c>
      <c r="C43" s="117"/>
      <c r="D43" s="551" t="s">
        <v>228</v>
      </c>
      <c r="E43" s="498">
        <v>167</v>
      </c>
      <c r="F43" s="460">
        <v>0</v>
      </c>
      <c r="G43" s="460">
        <v>21</v>
      </c>
      <c r="H43" s="460">
        <v>0</v>
      </c>
      <c r="I43" s="460">
        <v>125</v>
      </c>
      <c r="J43" s="460">
        <v>0</v>
      </c>
      <c r="K43" s="460">
        <v>0</v>
      </c>
      <c r="L43" s="465">
        <f t="shared" ref="L43:L48" si="26">SUM(F43:I43)</f>
        <v>146</v>
      </c>
      <c r="M43" s="490">
        <f t="shared" si="23"/>
        <v>87.425149700598809</v>
      </c>
      <c r="N43" s="490">
        <f t="shared" si="24"/>
        <v>21</v>
      </c>
      <c r="O43" s="490">
        <f t="shared" ref="O43:O48" si="27">N43/E43*100</f>
        <v>12.574850299401197</v>
      </c>
      <c r="P43" s="490">
        <f t="shared" si="25"/>
        <v>0</v>
      </c>
      <c r="Q43" s="172">
        <v>0</v>
      </c>
      <c r="R43" s="172">
        <v>0</v>
      </c>
      <c r="S43" s="108"/>
      <c r="U43" s="53" t="s">
        <v>164</v>
      </c>
      <c r="X43" s="30"/>
    </row>
    <row r="44" spans="1:24" s="53" customFormat="1" ht="26.25" customHeight="1" x14ac:dyDescent="0.35">
      <c r="A44" s="34"/>
      <c r="B44" s="34">
        <v>4</v>
      </c>
      <c r="C44" s="117"/>
      <c r="D44" s="551" t="s">
        <v>63</v>
      </c>
      <c r="E44" s="498">
        <v>595</v>
      </c>
      <c r="F44" s="460">
        <v>0</v>
      </c>
      <c r="G44" s="460">
        <v>0</v>
      </c>
      <c r="H44" s="460">
        <v>0</v>
      </c>
      <c r="I44" s="460">
        <v>527</v>
      </c>
      <c r="J44" s="460">
        <v>0</v>
      </c>
      <c r="K44" s="460">
        <v>23</v>
      </c>
      <c r="L44" s="465">
        <f t="shared" si="26"/>
        <v>527</v>
      </c>
      <c r="M44" s="490">
        <f t="shared" si="23"/>
        <v>88.571428571428569</v>
      </c>
      <c r="N44" s="490">
        <f t="shared" si="24"/>
        <v>0</v>
      </c>
      <c r="O44" s="490">
        <f t="shared" si="27"/>
        <v>0</v>
      </c>
      <c r="P44" s="490">
        <f t="shared" si="25"/>
        <v>0</v>
      </c>
      <c r="Q44" s="172">
        <v>0</v>
      </c>
      <c r="R44" s="172">
        <v>0</v>
      </c>
      <c r="S44" s="108"/>
      <c r="U44" s="53" t="s">
        <v>165</v>
      </c>
      <c r="X44" s="30"/>
    </row>
    <row r="45" spans="1:24" s="53" customFormat="1" ht="26.25" customHeight="1" x14ac:dyDescent="0.35">
      <c r="A45" s="34"/>
      <c r="B45" s="34">
        <v>5</v>
      </c>
      <c r="C45" s="117"/>
      <c r="D45" s="551" t="s">
        <v>64</v>
      </c>
      <c r="E45" s="480">
        <v>4052</v>
      </c>
      <c r="F45" s="460">
        <v>141</v>
      </c>
      <c r="G45" s="460">
        <v>0</v>
      </c>
      <c r="H45" s="460">
        <v>0</v>
      </c>
      <c r="I45" s="460">
        <v>3585</v>
      </c>
      <c r="J45" s="460">
        <v>15</v>
      </c>
      <c r="K45" s="460">
        <v>162</v>
      </c>
      <c r="L45" s="465">
        <f t="shared" si="26"/>
        <v>3726</v>
      </c>
      <c r="M45" s="490">
        <f t="shared" si="23"/>
        <v>91.954590325765054</v>
      </c>
      <c r="N45" s="490">
        <f t="shared" si="24"/>
        <v>141</v>
      </c>
      <c r="O45" s="490">
        <f t="shared" si="27"/>
        <v>3.4797630799605135</v>
      </c>
      <c r="P45" s="490">
        <f t="shared" si="25"/>
        <v>3.4797630799605135</v>
      </c>
      <c r="Q45" s="172">
        <v>0</v>
      </c>
      <c r="R45" s="172">
        <v>0</v>
      </c>
      <c r="S45" s="108"/>
      <c r="T45" s="108">
        <f>K45+R45</f>
        <v>162</v>
      </c>
      <c r="U45" s="53" t="s">
        <v>166</v>
      </c>
      <c r="X45" s="30"/>
    </row>
    <row r="46" spans="1:24" s="53" customFormat="1" ht="26.25" customHeight="1" x14ac:dyDescent="0.35">
      <c r="A46" s="34"/>
      <c r="B46" s="34">
        <v>6</v>
      </c>
      <c r="C46" s="117"/>
      <c r="D46" s="551" t="s">
        <v>65</v>
      </c>
      <c r="E46" s="479">
        <v>277</v>
      </c>
      <c r="F46" s="460">
        <v>0</v>
      </c>
      <c r="G46" s="460">
        <v>0</v>
      </c>
      <c r="H46" s="460">
        <v>0</v>
      </c>
      <c r="I46" s="460">
        <v>238</v>
      </c>
      <c r="J46" s="460">
        <v>0</v>
      </c>
      <c r="K46" s="460">
        <v>39</v>
      </c>
      <c r="L46" s="465">
        <f t="shared" si="26"/>
        <v>238</v>
      </c>
      <c r="M46" s="490">
        <f t="shared" si="23"/>
        <v>85.920577617328519</v>
      </c>
      <c r="N46" s="490">
        <f t="shared" si="24"/>
        <v>0</v>
      </c>
      <c r="O46" s="490">
        <f t="shared" si="27"/>
        <v>0</v>
      </c>
      <c r="P46" s="490">
        <f t="shared" si="25"/>
        <v>0</v>
      </c>
      <c r="Q46" s="172">
        <v>0</v>
      </c>
      <c r="R46" s="172">
        <v>0</v>
      </c>
      <c r="S46" s="108"/>
      <c r="X46" s="30"/>
    </row>
    <row r="47" spans="1:24" s="53" customFormat="1" ht="26.25" customHeight="1" x14ac:dyDescent="0.35">
      <c r="A47" s="34"/>
      <c r="B47" s="34">
        <v>7</v>
      </c>
      <c r="C47" s="117"/>
      <c r="D47" s="551" t="s">
        <v>229</v>
      </c>
      <c r="E47" s="498">
        <v>452</v>
      </c>
      <c r="F47" s="460">
        <v>0</v>
      </c>
      <c r="G47" s="460">
        <v>0</v>
      </c>
      <c r="H47" s="460">
        <v>0</v>
      </c>
      <c r="I47" s="460">
        <v>392</v>
      </c>
      <c r="J47" s="460">
        <v>0</v>
      </c>
      <c r="K47" s="460">
        <v>33</v>
      </c>
      <c r="L47" s="465">
        <f t="shared" si="26"/>
        <v>392</v>
      </c>
      <c r="M47" s="490">
        <f t="shared" si="23"/>
        <v>86.725663716814154</v>
      </c>
      <c r="N47" s="490">
        <f t="shared" si="24"/>
        <v>0</v>
      </c>
      <c r="O47" s="490">
        <f t="shared" si="27"/>
        <v>0</v>
      </c>
      <c r="P47" s="490">
        <f t="shared" si="25"/>
        <v>0</v>
      </c>
      <c r="Q47" s="172">
        <v>0</v>
      </c>
      <c r="R47" s="172">
        <v>0</v>
      </c>
      <c r="S47" s="108"/>
      <c r="X47" s="30"/>
    </row>
    <row r="48" spans="1:24" s="53" customFormat="1" ht="26.25" customHeight="1" x14ac:dyDescent="0.35">
      <c r="A48" s="54"/>
      <c r="B48" s="54">
        <v>8</v>
      </c>
      <c r="C48" s="122"/>
      <c r="D48" s="551" t="s">
        <v>66</v>
      </c>
      <c r="E48" s="479">
        <v>216</v>
      </c>
      <c r="F48" s="460">
        <v>0</v>
      </c>
      <c r="G48" s="460">
        <v>0</v>
      </c>
      <c r="H48" s="460">
        <v>0</v>
      </c>
      <c r="I48" s="460">
        <v>191</v>
      </c>
      <c r="J48" s="460">
        <v>0</v>
      </c>
      <c r="K48" s="460">
        <v>25</v>
      </c>
      <c r="L48" s="465">
        <f t="shared" si="26"/>
        <v>191</v>
      </c>
      <c r="M48" s="490">
        <f t="shared" si="23"/>
        <v>88.425925925925924</v>
      </c>
      <c r="N48" s="490">
        <f t="shared" si="24"/>
        <v>0</v>
      </c>
      <c r="O48" s="490">
        <f t="shared" si="27"/>
        <v>0</v>
      </c>
      <c r="P48" s="490">
        <f t="shared" si="25"/>
        <v>0</v>
      </c>
      <c r="Q48" s="172">
        <v>0</v>
      </c>
      <c r="R48" s="172">
        <v>0</v>
      </c>
      <c r="S48" s="108"/>
      <c r="X48" s="30"/>
    </row>
    <row r="49" spans="1:24" s="53" customFormat="1" ht="26.25" customHeight="1" x14ac:dyDescent="0.35">
      <c r="A49" s="34"/>
      <c r="B49" s="527"/>
      <c r="C49" s="549" t="s">
        <v>191</v>
      </c>
      <c r="D49" s="549"/>
      <c r="E49" s="550">
        <f>SUM(E41:E48)</f>
        <v>6425</v>
      </c>
      <c r="F49" s="550">
        <f>SUM(F41:F48)</f>
        <v>141</v>
      </c>
      <c r="G49" s="550">
        <f t="shared" ref="G49:K49" si="28">SUM(G41:G48)</f>
        <v>44</v>
      </c>
      <c r="H49" s="550">
        <f t="shared" si="28"/>
        <v>0</v>
      </c>
      <c r="I49" s="550">
        <f t="shared" si="28"/>
        <v>5678</v>
      </c>
      <c r="J49" s="550">
        <f t="shared" si="28"/>
        <v>15</v>
      </c>
      <c r="K49" s="550">
        <f t="shared" si="28"/>
        <v>282</v>
      </c>
      <c r="L49" s="397">
        <f>SUM(F49:I49)</f>
        <v>5863</v>
      </c>
      <c r="M49" s="550">
        <f t="shared" ref="M49" si="29">L49/E49*100</f>
        <v>91.252918287937746</v>
      </c>
      <c r="N49" s="548">
        <f t="shared" si="24"/>
        <v>185</v>
      </c>
      <c r="O49" s="548">
        <f>N49/E49*100</f>
        <v>2.8793774319066148</v>
      </c>
      <c r="P49" s="548">
        <f t="shared" si="25"/>
        <v>2.1945525291828796</v>
      </c>
      <c r="Q49" s="108">
        <f>SUM(F49:K49)</f>
        <v>6160</v>
      </c>
      <c r="R49" s="108">
        <f>E49-Q49</f>
        <v>265</v>
      </c>
      <c r="S49" s="108"/>
      <c r="X49" s="30"/>
    </row>
    <row r="50" spans="1:24" s="53" customFormat="1" ht="26.25" customHeight="1" x14ac:dyDescent="0.35">
      <c r="A50" s="32">
        <v>3</v>
      </c>
      <c r="B50" s="32">
        <v>1</v>
      </c>
      <c r="C50" s="384" t="s">
        <v>127</v>
      </c>
      <c r="D50" s="452" t="s">
        <v>128</v>
      </c>
      <c r="E50" s="469">
        <v>434</v>
      </c>
      <c r="F50" s="465">
        <v>0</v>
      </c>
      <c r="G50" s="469">
        <v>425</v>
      </c>
      <c r="H50" s="485">
        <v>9</v>
      </c>
      <c r="I50" s="465">
        <v>0</v>
      </c>
      <c r="J50" s="465">
        <v>0</v>
      </c>
      <c r="K50" s="465">
        <v>0</v>
      </c>
      <c r="L50" s="465">
        <f>SUM(G50,H50)</f>
        <v>434</v>
      </c>
      <c r="M50" s="465">
        <f>L50/E50*100</f>
        <v>100</v>
      </c>
      <c r="N50" s="465">
        <f>SUM(F50:H50)</f>
        <v>434</v>
      </c>
      <c r="O50" s="465">
        <f>N50/E50*100</f>
        <v>100</v>
      </c>
      <c r="P50" s="465">
        <f>F50/E50*100</f>
        <v>0</v>
      </c>
      <c r="Q50" s="108">
        <f t="shared" ref="Q50:Q114" si="30">SUM(F50:K50)</f>
        <v>434</v>
      </c>
      <c r="R50" s="108">
        <f t="shared" ref="R50:R114" si="31">E50-Q50</f>
        <v>0</v>
      </c>
      <c r="S50" s="108"/>
    </row>
    <row r="51" spans="1:24" s="53" customFormat="1" ht="26.25" customHeight="1" x14ac:dyDescent="0.35">
      <c r="A51" s="34"/>
      <c r="B51" s="34">
        <v>2</v>
      </c>
      <c r="C51" s="117"/>
      <c r="D51" s="456" t="s">
        <v>129</v>
      </c>
      <c r="E51" s="469">
        <v>160</v>
      </c>
      <c r="F51" s="465">
        <v>0</v>
      </c>
      <c r="G51" s="469">
        <v>155</v>
      </c>
      <c r="H51" s="485">
        <v>5</v>
      </c>
      <c r="I51" s="465">
        <v>0</v>
      </c>
      <c r="J51" s="465">
        <v>0</v>
      </c>
      <c r="K51" s="465">
        <v>0</v>
      </c>
      <c r="L51" s="465">
        <f t="shared" ref="L51:L57" si="32">SUM(F51:I51)</f>
        <v>160</v>
      </c>
      <c r="M51" s="465">
        <f t="shared" ref="M51:M58" si="33">L51/E51*100</f>
        <v>100</v>
      </c>
      <c r="N51" s="465">
        <f t="shared" ref="N51:N57" si="34">SUM(F51:H51)</f>
        <v>160</v>
      </c>
      <c r="O51" s="465">
        <f t="shared" ref="O51:O58" si="35">N51/E51*100</f>
        <v>100</v>
      </c>
      <c r="P51" s="465">
        <f t="shared" ref="P51:P58" si="36">F51/E51*100</f>
        <v>0</v>
      </c>
      <c r="Q51" s="108">
        <f t="shared" si="30"/>
        <v>160</v>
      </c>
      <c r="R51" s="108">
        <f t="shared" si="31"/>
        <v>0</v>
      </c>
      <c r="S51" s="108"/>
    </row>
    <row r="52" spans="1:24" s="53" customFormat="1" ht="26.25" customHeight="1" x14ac:dyDescent="0.35">
      <c r="A52" s="34"/>
      <c r="B52" s="34">
        <v>3</v>
      </c>
      <c r="C52" s="117"/>
      <c r="D52" s="456" t="s">
        <v>130</v>
      </c>
      <c r="E52" s="469">
        <v>183</v>
      </c>
      <c r="F52" s="465">
        <v>0</v>
      </c>
      <c r="G52" s="469">
        <v>168</v>
      </c>
      <c r="H52" s="485">
        <v>15</v>
      </c>
      <c r="I52" s="465">
        <v>0</v>
      </c>
      <c r="J52" s="465">
        <v>0</v>
      </c>
      <c r="K52" s="465">
        <v>0</v>
      </c>
      <c r="L52" s="465">
        <f t="shared" si="32"/>
        <v>183</v>
      </c>
      <c r="M52" s="465">
        <f t="shared" si="33"/>
        <v>100</v>
      </c>
      <c r="N52" s="465">
        <f t="shared" si="34"/>
        <v>183</v>
      </c>
      <c r="O52" s="465">
        <f t="shared" si="35"/>
        <v>100</v>
      </c>
      <c r="P52" s="465">
        <f t="shared" si="36"/>
        <v>0</v>
      </c>
      <c r="Q52" s="108">
        <f t="shared" si="30"/>
        <v>183</v>
      </c>
      <c r="R52" s="108">
        <f t="shared" si="31"/>
        <v>0</v>
      </c>
      <c r="S52" s="108"/>
    </row>
    <row r="53" spans="1:24" s="53" customFormat="1" ht="26.25" customHeight="1" x14ac:dyDescent="0.35">
      <c r="A53" s="34"/>
      <c r="B53" s="34">
        <v>4</v>
      </c>
      <c r="C53" s="117"/>
      <c r="D53" s="456" t="s">
        <v>131</v>
      </c>
      <c r="E53" s="469">
        <v>354</v>
      </c>
      <c r="F53" s="465">
        <v>0</v>
      </c>
      <c r="G53" s="469">
        <v>346</v>
      </c>
      <c r="H53" s="485">
        <v>8</v>
      </c>
      <c r="I53" s="465">
        <v>0</v>
      </c>
      <c r="J53" s="465">
        <v>0</v>
      </c>
      <c r="K53" s="465">
        <v>0</v>
      </c>
      <c r="L53" s="465">
        <f t="shared" si="32"/>
        <v>354</v>
      </c>
      <c r="M53" s="465">
        <f t="shared" si="33"/>
        <v>100</v>
      </c>
      <c r="N53" s="465">
        <f t="shared" si="34"/>
        <v>354</v>
      </c>
      <c r="O53" s="465">
        <f t="shared" si="35"/>
        <v>100</v>
      </c>
      <c r="P53" s="465">
        <f t="shared" si="36"/>
        <v>0</v>
      </c>
      <c r="Q53" s="108">
        <f t="shared" si="30"/>
        <v>354</v>
      </c>
      <c r="R53" s="108">
        <f t="shared" si="31"/>
        <v>0</v>
      </c>
      <c r="S53" s="108"/>
    </row>
    <row r="54" spans="1:24" s="53" customFormat="1" ht="26.25" customHeight="1" x14ac:dyDescent="0.35">
      <c r="A54" s="34"/>
      <c r="B54" s="34">
        <v>5</v>
      </c>
      <c r="C54" s="117"/>
      <c r="D54" s="456" t="s">
        <v>132</v>
      </c>
      <c r="E54" s="469">
        <v>407</v>
      </c>
      <c r="F54" s="465">
        <v>0</v>
      </c>
      <c r="G54" s="469">
        <v>397</v>
      </c>
      <c r="H54" s="485">
        <v>10</v>
      </c>
      <c r="I54" s="465">
        <v>0</v>
      </c>
      <c r="J54" s="465">
        <v>0</v>
      </c>
      <c r="K54" s="465">
        <v>0</v>
      </c>
      <c r="L54" s="465">
        <f>SUM(F54:K54)</f>
        <v>407</v>
      </c>
      <c r="M54" s="465">
        <f t="shared" si="33"/>
        <v>100</v>
      </c>
      <c r="N54" s="465">
        <f t="shared" si="34"/>
        <v>407</v>
      </c>
      <c r="O54" s="465">
        <f t="shared" si="35"/>
        <v>100</v>
      </c>
      <c r="P54" s="465">
        <f t="shared" si="36"/>
        <v>0</v>
      </c>
      <c r="Q54" s="108">
        <f t="shared" si="30"/>
        <v>407</v>
      </c>
      <c r="R54" s="108">
        <f t="shared" si="31"/>
        <v>0</v>
      </c>
      <c r="S54" s="108"/>
    </row>
    <row r="55" spans="1:24" s="53" customFormat="1" ht="26.25" customHeight="1" x14ac:dyDescent="0.35">
      <c r="A55" s="34"/>
      <c r="B55" s="34">
        <v>6</v>
      </c>
      <c r="C55" s="117"/>
      <c r="D55" s="456" t="s">
        <v>133</v>
      </c>
      <c r="E55" s="469">
        <v>260</v>
      </c>
      <c r="F55" s="465">
        <v>0</v>
      </c>
      <c r="G55" s="469">
        <v>253</v>
      </c>
      <c r="H55" s="485">
        <v>7</v>
      </c>
      <c r="I55" s="465">
        <v>0</v>
      </c>
      <c r="J55" s="465">
        <v>0</v>
      </c>
      <c r="K55" s="465">
        <v>0</v>
      </c>
      <c r="L55" s="465">
        <f t="shared" si="32"/>
        <v>260</v>
      </c>
      <c r="M55" s="465">
        <f t="shared" si="33"/>
        <v>100</v>
      </c>
      <c r="N55" s="465">
        <f t="shared" si="34"/>
        <v>260</v>
      </c>
      <c r="O55" s="465">
        <f t="shared" si="35"/>
        <v>100</v>
      </c>
      <c r="P55" s="465">
        <f t="shared" si="36"/>
        <v>0</v>
      </c>
      <c r="Q55" s="108">
        <f t="shared" si="30"/>
        <v>260</v>
      </c>
      <c r="R55" s="108">
        <f t="shared" si="31"/>
        <v>0</v>
      </c>
      <c r="S55" s="108"/>
    </row>
    <row r="56" spans="1:24" s="53" customFormat="1" ht="26.25" customHeight="1" x14ac:dyDescent="0.35">
      <c r="A56" s="34"/>
      <c r="B56" s="34">
        <v>7</v>
      </c>
      <c r="C56" s="117"/>
      <c r="D56" s="456" t="s">
        <v>134</v>
      </c>
      <c r="E56" s="469">
        <v>228</v>
      </c>
      <c r="F56" s="465">
        <v>0</v>
      </c>
      <c r="G56" s="469">
        <v>222</v>
      </c>
      <c r="H56" s="485">
        <v>6</v>
      </c>
      <c r="I56" s="465">
        <v>0</v>
      </c>
      <c r="J56" s="465">
        <v>0</v>
      </c>
      <c r="K56" s="465">
        <v>0</v>
      </c>
      <c r="L56" s="465">
        <f t="shared" si="32"/>
        <v>228</v>
      </c>
      <c r="M56" s="465">
        <f t="shared" si="33"/>
        <v>100</v>
      </c>
      <c r="N56" s="465">
        <f t="shared" si="34"/>
        <v>228</v>
      </c>
      <c r="O56" s="465">
        <f t="shared" si="35"/>
        <v>100</v>
      </c>
      <c r="P56" s="465">
        <f t="shared" si="36"/>
        <v>0</v>
      </c>
      <c r="Q56" s="108">
        <f t="shared" si="30"/>
        <v>228</v>
      </c>
      <c r="R56" s="108">
        <f t="shared" si="31"/>
        <v>0</v>
      </c>
      <c r="S56" s="108"/>
    </row>
    <row r="57" spans="1:24" s="53" customFormat="1" ht="26.25" customHeight="1" x14ac:dyDescent="0.35">
      <c r="A57" s="34"/>
      <c r="B57" s="34">
        <v>8</v>
      </c>
      <c r="C57" s="117"/>
      <c r="D57" s="456" t="s">
        <v>135</v>
      </c>
      <c r="E57" s="469">
        <v>404</v>
      </c>
      <c r="F57" s="465">
        <v>0</v>
      </c>
      <c r="G57" s="469">
        <v>392</v>
      </c>
      <c r="H57" s="485">
        <v>12</v>
      </c>
      <c r="I57" s="465">
        <v>0</v>
      </c>
      <c r="J57" s="465">
        <v>0</v>
      </c>
      <c r="K57" s="465">
        <v>0</v>
      </c>
      <c r="L57" s="465">
        <f t="shared" si="32"/>
        <v>404</v>
      </c>
      <c r="M57" s="465">
        <f t="shared" si="33"/>
        <v>100</v>
      </c>
      <c r="N57" s="465">
        <f t="shared" si="34"/>
        <v>404</v>
      </c>
      <c r="O57" s="465">
        <f t="shared" si="35"/>
        <v>100</v>
      </c>
      <c r="P57" s="465">
        <f t="shared" si="36"/>
        <v>0</v>
      </c>
      <c r="Q57" s="108">
        <f t="shared" si="30"/>
        <v>404</v>
      </c>
      <c r="R57" s="108">
        <f t="shared" si="31"/>
        <v>0</v>
      </c>
      <c r="S57" s="108"/>
    </row>
    <row r="58" spans="1:24" s="53" customFormat="1" ht="26.25" customHeight="1" x14ac:dyDescent="0.35">
      <c r="A58" s="54"/>
      <c r="B58" s="54">
        <v>9</v>
      </c>
      <c r="C58" s="122"/>
      <c r="D58" s="456" t="s">
        <v>136</v>
      </c>
      <c r="E58" s="469">
        <v>204</v>
      </c>
      <c r="F58" s="465">
        <v>0</v>
      </c>
      <c r="G58" s="469">
        <v>173</v>
      </c>
      <c r="H58" s="485">
        <v>31</v>
      </c>
      <c r="I58" s="465">
        <v>0</v>
      </c>
      <c r="J58" s="465">
        <v>0</v>
      </c>
      <c r="K58" s="465">
        <v>0</v>
      </c>
      <c r="L58" s="465">
        <f>SUM(F58:I58)</f>
        <v>204</v>
      </c>
      <c r="M58" s="465">
        <f t="shared" si="33"/>
        <v>100</v>
      </c>
      <c r="N58" s="465">
        <f>SUM(F58:I58)</f>
        <v>204</v>
      </c>
      <c r="O58" s="465">
        <f t="shared" si="35"/>
        <v>100</v>
      </c>
      <c r="P58" s="465">
        <f t="shared" si="36"/>
        <v>0</v>
      </c>
      <c r="Q58" s="108">
        <f t="shared" si="30"/>
        <v>204</v>
      </c>
      <c r="R58" s="108">
        <f t="shared" si="31"/>
        <v>0</v>
      </c>
      <c r="S58" s="108"/>
    </row>
    <row r="59" spans="1:24" s="53" customFormat="1" ht="26.25" customHeight="1" x14ac:dyDescent="0.35">
      <c r="A59" s="95"/>
      <c r="B59" s="95"/>
      <c r="C59" s="383" t="s">
        <v>191</v>
      </c>
      <c r="D59" s="383"/>
      <c r="E59" s="94">
        <f t="shared" ref="E59:K59" si="37">SUM(E50:E58)</f>
        <v>2634</v>
      </c>
      <c r="F59" s="94">
        <f>SUM(F50:F58)</f>
        <v>0</v>
      </c>
      <c r="G59" s="94">
        <f t="shared" si="37"/>
        <v>2531</v>
      </c>
      <c r="H59" s="94">
        <f t="shared" si="37"/>
        <v>103</v>
      </c>
      <c r="I59" s="94">
        <f t="shared" si="37"/>
        <v>0</v>
      </c>
      <c r="J59" s="94">
        <f t="shared" si="37"/>
        <v>0</v>
      </c>
      <c r="K59" s="94">
        <f t="shared" si="37"/>
        <v>0</v>
      </c>
      <c r="L59" s="94">
        <f>SUM(L50:L58)</f>
        <v>2634</v>
      </c>
      <c r="M59" s="94">
        <f>L59/E59*100</f>
        <v>100</v>
      </c>
      <c r="N59" s="94">
        <f>SUM(N50:N58)</f>
        <v>2634</v>
      </c>
      <c r="O59" s="94">
        <f t="shared" si="21"/>
        <v>100</v>
      </c>
      <c r="P59" s="94">
        <f t="shared" si="22"/>
        <v>0</v>
      </c>
      <c r="Q59" s="108">
        <f t="shared" si="30"/>
        <v>2634</v>
      </c>
      <c r="R59" s="108">
        <f t="shared" si="31"/>
        <v>0</v>
      </c>
      <c r="S59" s="108"/>
    </row>
    <row r="60" spans="1:24" s="53" customFormat="1" ht="26.25" customHeight="1" x14ac:dyDescent="0.35">
      <c r="A60" s="32">
        <v>4</v>
      </c>
      <c r="B60" s="449">
        <v>1</v>
      </c>
      <c r="C60" s="174" t="s">
        <v>106</v>
      </c>
      <c r="D60" s="459" t="s">
        <v>107</v>
      </c>
      <c r="E60" s="469">
        <v>387</v>
      </c>
      <c r="F60" s="469">
        <v>0</v>
      </c>
      <c r="G60" s="469">
        <v>342</v>
      </c>
      <c r="H60" s="469">
        <v>36</v>
      </c>
      <c r="I60" s="469">
        <v>0</v>
      </c>
      <c r="J60" s="469">
        <v>378</v>
      </c>
      <c r="K60" s="469">
        <v>0</v>
      </c>
      <c r="L60" s="469">
        <f>SUM(F60:I60)</f>
        <v>378</v>
      </c>
      <c r="M60" s="465">
        <f>L60/E60*100</f>
        <v>97.674418604651152</v>
      </c>
      <c r="N60" s="465">
        <f>SUM(F60:H60)</f>
        <v>378</v>
      </c>
      <c r="O60" s="465">
        <f>N60/E60*100</f>
        <v>97.674418604651152</v>
      </c>
      <c r="P60" s="465">
        <f>F60/E60*100</f>
        <v>0</v>
      </c>
      <c r="Q60" s="108">
        <f t="shared" si="30"/>
        <v>756</v>
      </c>
      <c r="R60" s="108">
        <f t="shared" si="31"/>
        <v>-369</v>
      </c>
      <c r="S60" s="108"/>
    </row>
    <row r="61" spans="1:24" s="53" customFormat="1" ht="26.25" customHeight="1" x14ac:dyDescent="0.35">
      <c r="A61" s="34"/>
      <c r="B61" s="34">
        <v>2</v>
      </c>
      <c r="C61" s="173"/>
      <c r="D61" s="459" t="s">
        <v>108</v>
      </c>
      <c r="E61" s="469">
        <v>219</v>
      </c>
      <c r="F61" s="469">
        <v>0</v>
      </c>
      <c r="G61" s="469">
        <v>203</v>
      </c>
      <c r="H61" s="469">
        <v>16</v>
      </c>
      <c r="I61" s="469">
        <v>0</v>
      </c>
      <c r="J61" s="469">
        <v>219</v>
      </c>
      <c r="K61" s="469">
        <v>0</v>
      </c>
      <c r="L61" s="469">
        <f>SUM(F61:I61)</f>
        <v>219</v>
      </c>
      <c r="M61" s="465">
        <f t="shared" ref="M61:M71" si="38">L61/E61*100</f>
        <v>100</v>
      </c>
      <c r="N61" s="465">
        <f t="shared" ref="N61:N71" si="39">SUM(F61:H61)</f>
        <v>219</v>
      </c>
      <c r="O61" s="465">
        <f t="shared" ref="O61:O71" si="40">N61/E61*100</f>
        <v>100</v>
      </c>
      <c r="P61" s="465">
        <f t="shared" ref="P61:P70" si="41">F61/E61*100</f>
        <v>0</v>
      </c>
      <c r="Q61" s="108">
        <f t="shared" si="30"/>
        <v>438</v>
      </c>
      <c r="R61" s="108">
        <f t="shared" si="31"/>
        <v>-219</v>
      </c>
      <c r="S61" s="108"/>
    </row>
    <row r="62" spans="1:24" s="53" customFormat="1" ht="26.25" customHeight="1" x14ac:dyDescent="0.35">
      <c r="A62" s="34"/>
      <c r="B62" s="34">
        <v>3</v>
      </c>
      <c r="C62" s="173"/>
      <c r="D62" s="459" t="s">
        <v>109</v>
      </c>
      <c r="E62" s="469">
        <v>204</v>
      </c>
      <c r="F62" s="469">
        <v>0</v>
      </c>
      <c r="G62" s="469">
        <v>174</v>
      </c>
      <c r="H62" s="469">
        <v>27</v>
      </c>
      <c r="I62" s="469">
        <v>0</v>
      </c>
      <c r="J62" s="469">
        <v>201</v>
      </c>
      <c r="K62" s="469">
        <v>0</v>
      </c>
      <c r="L62" s="469">
        <f t="shared" ref="L62:L70" si="42">SUM(F62:I62)</f>
        <v>201</v>
      </c>
      <c r="M62" s="465">
        <f t="shared" si="38"/>
        <v>98.529411764705884</v>
      </c>
      <c r="N62" s="465">
        <f t="shared" si="39"/>
        <v>201</v>
      </c>
      <c r="O62" s="465">
        <f t="shared" si="40"/>
        <v>98.529411764705884</v>
      </c>
      <c r="P62" s="465">
        <f t="shared" si="41"/>
        <v>0</v>
      </c>
      <c r="Q62" s="108">
        <f t="shared" si="30"/>
        <v>402</v>
      </c>
      <c r="R62" s="108">
        <f t="shared" si="31"/>
        <v>-198</v>
      </c>
      <c r="S62" s="108"/>
    </row>
    <row r="63" spans="1:24" s="53" customFormat="1" ht="26.25" customHeight="1" x14ac:dyDescent="0.35">
      <c r="A63" s="34"/>
      <c r="B63" s="34">
        <v>4</v>
      </c>
      <c r="C63" s="173"/>
      <c r="D63" s="459" t="s">
        <v>110</v>
      </c>
      <c r="E63" s="469">
        <v>489</v>
      </c>
      <c r="F63" s="469">
        <v>0</v>
      </c>
      <c r="G63" s="469">
        <v>430</v>
      </c>
      <c r="H63" s="469">
        <v>51</v>
      </c>
      <c r="I63" s="469">
        <v>0</v>
      </c>
      <c r="J63" s="469">
        <v>481</v>
      </c>
      <c r="K63" s="469">
        <v>0</v>
      </c>
      <c r="L63" s="469">
        <f t="shared" si="42"/>
        <v>481</v>
      </c>
      <c r="M63" s="465">
        <f t="shared" si="38"/>
        <v>98.3640081799591</v>
      </c>
      <c r="N63" s="465">
        <f t="shared" si="39"/>
        <v>481</v>
      </c>
      <c r="O63" s="465">
        <f t="shared" si="40"/>
        <v>98.3640081799591</v>
      </c>
      <c r="P63" s="465">
        <f t="shared" si="41"/>
        <v>0</v>
      </c>
      <c r="Q63" s="108">
        <f t="shared" si="30"/>
        <v>962</v>
      </c>
      <c r="R63" s="108">
        <f t="shared" si="31"/>
        <v>-473</v>
      </c>
      <c r="S63" s="108"/>
    </row>
    <row r="64" spans="1:24" s="53" customFormat="1" ht="26.25" customHeight="1" x14ac:dyDescent="0.35">
      <c r="A64" s="34"/>
      <c r="B64" s="34">
        <v>5</v>
      </c>
      <c r="C64" s="173"/>
      <c r="D64" s="459" t="s">
        <v>111</v>
      </c>
      <c r="E64" s="469">
        <v>168</v>
      </c>
      <c r="F64" s="469">
        <v>0</v>
      </c>
      <c r="G64" s="469">
        <v>160</v>
      </c>
      <c r="H64" s="469">
        <v>8</v>
      </c>
      <c r="I64" s="469">
        <v>0</v>
      </c>
      <c r="J64" s="469">
        <v>168</v>
      </c>
      <c r="K64" s="469">
        <v>0</v>
      </c>
      <c r="L64" s="469">
        <f t="shared" si="42"/>
        <v>168</v>
      </c>
      <c r="M64" s="465">
        <f t="shared" si="38"/>
        <v>100</v>
      </c>
      <c r="N64" s="465">
        <f t="shared" si="39"/>
        <v>168</v>
      </c>
      <c r="O64" s="465">
        <f t="shared" si="40"/>
        <v>100</v>
      </c>
      <c r="P64" s="465">
        <f t="shared" si="41"/>
        <v>0</v>
      </c>
      <c r="Q64" s="108">
        <f t="shared" si="30"/>
        <v>336</v>
      </c>
      <c r="R64" s="108">
        <f t="shared" si="31"/>
        <v>-168</v>
      </c>
      <c r="S64" s="108"/>
    </row>
    <row r="65" spans="1:24" s="53" customFormat="1" ht="26.25" customHeight="1" x14ac:dyDescent="0.35">
      <c r="A65" s="34"/>
      <c r="B65" s="34">
        <v>6</v>
      </c>
      <c r="C65" s="173"/>
      <c r="D65" s="459" t="s">
        <v>112</v>
      </c>
      <c r="E65" s="469">
        <v>165</v>
      </c>
      <c r="F65" s="469">
        <v>0</v>
      </c>
      <c r="G65" s="469">
        <v>157</v>
      </c>
      <c r="H65" s="469">
        <v>8</v>
      </c>
      <c r="I65" s="469">
        <v>0</v>
      </c>
      <c r="J65" s="469">
        <v>165</v>
      </c>
      <c r="K65" s="469">
        <v>0</v>
      </c>
      <c r="L65" s="469">
        <f t="shared" si="42"/>
        <v>165</v>
      </c>
      <c r="M65" s="465">
        <f t="shared" si="38"/>
        <v>100</v>
      </c>
      <c r="N65" s="465">
        <f t="shared" si="39"/>
        <v>165</v>
      </c>
      <c r="O65" s="465">
        <f t="shared" si="40"/>
        <v>100</v>
      </c>
      <c r="P65" s="465">
        <f t="shared" si="41"/>
        <v>0</v>
      </c>
      <c r="Q65" s="108">
        <f t="shared" si="30"/>
        <v>330</v>
      </c>
      <c r="R65" s="108">
        <f t="shared" si="31"/>
        <v>-165</v>
      </c>
      <c r="S65" s="108"/>
    </row>
    <row r="66" spans="1:24" s="53" customFormat="1" ht="26.25" customHeight="1" x14ac:dyDescent="0.35">
      <c r="A66" s="34"/>
      <c r="B66" s="34">
        <v>7</v>
      </c>
      <c r="C66" s="173"/>
      <c r="D66" s="459" t="s">
        <v>113</v>
      </c>
      <c r="E66" s="469">
        <v>141</v>
      </c>
      <c r="F66" s="469">
        <v>0</v>
      </c>
      <c r="G66" s="469">
        <v>132</v>
      </c>
      <c r="H66" s="469">
        <v>9</v>
      </c>
      <c r="I66" s="469">
        <v>0</v>
      </c>
      <c r="J66" s="469">
        <v>141</v>
      </c>
      <c r="K66" s="469">
        <v>0</v>
      </c>
      <c r="L66" s="469">
        <f t="shared" si="42"/>
        <v>141</v>
      </c>
      <c r="M66" s="465">
        <f t="shared" si="38"/>
        <v>100</v>
      </c>
      <c r="N66" s="465">
        <f t="shared" si="39"/>
        <v>141</v>
      </c>
      <c r="O66" s="465">
        <f t="shared" si="40"/>
        <v>100</v>
      </c>
      <c r="P66" s="465">
        <f t="shared" si="41"/>
        <v>0</v>
      </c>
      <c r="Q66" s="108">
        <f t="shared" si="30"/>
        <v>282</v>
      </c>
      <c r="R66" s="108">
        <f t="shared" si="31"/>
        <v>-141</v>
      </c>
      <c r="S66" s="108"/>
    </row>
    <row r="67" spans="1:24" s="53" customFormat="1" ht="26.25" customHeight="1" x14ac:dyDescent="0.35">
      <c r="A67" s="34"/>
      <c r="B67" s="34">
        <v>8</v>
      </c>
      <c r="C67" s="173"/>
      <c r="D67" s="459" t="s">
        <v>114</v>
      </c>
      <c r="E67" s="469">
        <v>60</v>
      </c>
      <c r="F67" s="469">
        <v>0</v>
      </c>
      <c r="G67" s="469">
        <v>55</v>
      </c>
      <c r="H67" s="469">
        <v>5</v>
      </c>
      <c r="I67" s="469">
        <v>0</v>
      </c>
      <c r="J67" s="469">
        <v>60</v>
      </c>
      <c r="K67" s="469">
        <v>0</v>
      </c>
      <c r="L67" s="469">
        <f t="shared" si="42"/>
        <v>60</v>
      </c>
      <c r="M67" s="465">
        <f t="shared" si="38"/>
        <v>100</v>
      </c>
      <c r="N67" s="465">
        <f t="shared" si="39"/>
        <v>60</v>
      </c>
      <c r="O67" s="465">
        <f t="shared" si="40"/>
        <v>100</v>
      </c>
      <c r="P67" s="465">
        <f t="shared" si="41"/>
        <v>0</v>
      </c>
      <c r="Q67" s="108">
        <f t="shared" si="30"/>
        <v>120</v>
      </c>
      <c r="R67" s="108">
        <f t="shared" si="31"/>
        <v>-60</v>
      </c>
      <c r="S67" s="108"/>
    </row>
    <row r="68" spans="1:24" s="53" customFormat="1" ht="26.25" customHeight="1" x14ac:dyDescent="0.35">
      <c r="A68" s="34"/>
      <c r="B68" s="34">
        <v>9</v>
      </c>
      <c r="C68" s="173"/>
      <c r="D68" s="459" t="s">
        <v>115</v>
      </c>
      <c r="E68" s="469">
        <v>157</v>
      </c>
      <c r="F68" s="469">
        <v>0</v>
      </c>
      <c r="G68" s="469">
        <v>132</v>
      </c>
      <c r="H68" s="469">
        <v>21</v>
      </c>
      <c r="I68" s="469">
        <v>0</v>
      </c>
      <c r="J68" s="469">
        <v>153</v>
      </c>
      <c r="K68" s="469">
        <v>0</v>
      </c>
      <c r="L68" s="469">
        <f t="shared" si="42"/>
        <v>153</v>
      </c>
      <c r="M68" s="465">
        <f t="shared" si="38"/>
        <v>97.452229299363054</v>
      </c>
      <c r="N68" s="465">
        <f t="shared" si="39"/>
        <v>153</v>
      </c>
      <c r="O68" s="465">
        <f t="shared" si="40"/>
        <v>97.452229299363054</v>
      </c>
      <c r="P68" s="465">
        <f t="shared" si="41"/>
        <v>0</v>
      </c>
      <c r="Q68" s="108">
        <f t="shared" si="30"/>
        <v>306</v>
      </c>
      <c r="R68" s="108">
        <f t="shared" si="31"/>
        <v>-149</v>
      </c>
      <c r="S68" s="108"/>
    </row>
    <row r="69" spans="1:24" s="53" customFormat="1" ht="26.25" customHeight="1" x14ac:dyDescent="0.35">
      <c r="A69" s="34"/>
      <c r="B69" s="34">
        <v>10</v>
      </c>
      <c r="C69" s="173"/>
      <c r="D69" s="459" t="s">
        <v>116</v>
      </c>
      <c r="E69" s="469">
        <v>298</v>
      </c>
      <c r="F69" s="469">
        <v>0</v>
      </c>
      <c r="G69" s="469">
        <v>272</v>
      </c>
      <c r="H69" s="469">
        <v>26</v>
      </c>
      <c r="I69" s="469">
        <v>0</v>
      </c>
      <c r="J69" s="469">
        <v>298</v>
      </c>
      <c r="K69" s="469">
        <v>0</v>
      </c>
      <c r="L69" s="469">
        <f t="shared" si="42"/>
        <v>298</v>
      </c>
      <c r="M69" s="465">
        <f t="shared" si="38"/>
        <v>100</v>
      </c>
      <c r="N69" s="465">
        <f t="shared" si="39"/>
        <v>298</v>
      </c>
      <c r="O69" s="465">
        <f t="shared" si="40"/>
        <v>100</v>
      </c>
      <c r="P69" s="465">
        <f t="shared" si="41"/>
        <v>0</v>
      </c>
      <c r="Q69" s="108">
        <f t="shared" si="30"/>
        <v>596</v>
      </c>
      <c r="R69" s="108">
        <f t="shared" si="31"/>
        <v>-298</v>
      </c>
      <c r="S69" s="108"/>
    </row>
    <row r="70" spans="1:24" s="53" customFormat="1" ht="26.25" customHeight="1" x14ac:dyDescent="0.35">
      <c r="A70" s="34"/>
      <c r="B70" s="34">
        <v>11</v>
      </c>
      <c r="C70" s="173"/>
      <c r="D70" s="459" t="s">
        <v>117</v>
      </c>
      <c r="E70" s="469">
        <v>183</v>
      </c>
      <c r="F70" s="469">
        <v>0</v>
      </c>
      <c r="G70" s="469">
        <v>136</v>
      </c>
      <c r="H70" s="469">
        <v>42</v>
      </c>
      <c r="I70" s="469">
        <v>0</v>
      </c>
      <c r="J70" s="469">
        <v>178</v>
      </c>
      <c r="K70" s="469">
        <v>0</v>
      </c>
      <c r="L70" s="469">
        <f t="shared" si="42"/>
        <v>178</v>
      </c>
      <c r="M70" s="465">
        <f t="shared" si="38"/>
        <v>97.267759562841533</v>
      </c>
      <c r="N70" s="465">
        <f t="shared" si="39"/>
        <v>178</v>
      </c>
      <c r="O70" s="465">
        <f t="shared" si="40"/>
        <v>97.267759562841533</v>
      </c>
      <c r="P70" s="465">
        <f t="shared" si="41"/>
        <v>0</v>
      </c>
      <c r="Q70" s="108">
        <f t="shared" si="30"/>
        <v>356</v>
      </c>
      <c r="R70" s="108">
        <f t="shared" si="31"/>
        <v>-173</v>
      </c>
      <c r="S70" s="108"/>
    </row>
    <row r="71" spans="1:24" s="53" customFormat="1" ht="26.25" customHeight="1" x14ac:dyDescent="0.35">
      <c r="A71" s="54"/>
      <c r="B71" s="54">
        <v>12</v>
      </c>
      <c r="C71" s="173"/>
      <c r="D71" s="459" t="s">
        <v>118</v>
      </c>
      <c r="E71" s="469">
        <v>145</v>
      </c>
      <c r="F71" s="469">
        <v>0</v>
      </c>
      <c r="G71" s="469">
        <v>105</v>
      </c>
      <c r="H71" s="469">
        <v>40</v>
      </c>
      <c r="I71" s="469">
        <v>0</v>
      </c>
      <c r="J71" s="469">
        <v>145</v>
      </c>
      <c r="K71" s="469">
        <v>0</v>
      </c>
      <c r="L71" s="469">
        <f>SUM(F71:I71)</f>
        <v>145</v>
      </c>
      <c r="M71" s="465">
        <f t="shared" si="38"/>
        <v>100</v>
      </c>
      <c r="N71" s="465">
        <f t="shared" si="39"/>
        <v>145</v>
      </c>
      <c r="O71" s="465">
        <f t="shared" si="40"/>
        <v>100</v>
      </c>
      <c r="P71" s="465">
        <f>F71/E71*100</f>
        <v>0</v>
      </c>
      <c r="Q71" s="108">
        <f t="shared" si="30"/>
        <v>290</v>
      </c>
      <c r="R71" s="108">
        <f t="shared" si="31"/>
        <v>-145</v>
      </c>
      <c r="S71" s="108"/>
    </row>
    <row r="72" spans="1:24" s="53" customFormat="1" ht="26.25" customHeight="1" x14ac:dyDescent="0.35">
      <c r="A72" s="93"/>
      <c r="B72" s="93"/>
      <c r="C72" s="493" t="s">
        <v>191</v>
      </c>
      <c r="D72" s="612"/>
      <c r="E72" s="493">
        <f>SUM(E60:E71)</f>
        <v>2616</v>
      </c>
      <c r="F72" s="493">
        <f t="shared" ref="F72:J72" si="43">SUM(F60:F71)</f>
        <v>0</v>
      </c>
      <c r="G72" s="493">
        <f t="shared" si="43"/>
        <v>2298</v>
      </c>
      <c r="H72" s="493">
        <f t="shared" si="43"/>
        <v>289</v>
      </c>
      <c r="I72" s="493">
        <f t="shared" si="43"/>
        <v>0</v>
      </c>
      <c r="J72" s="493">
        <f t="shared" si="43"/>
        <v>2587</v>
      </c>
      <c r="K72" s="493">
        <f>SUM(K60:K71)</f>
        <v>0</v>
      </c>
      <c r="L72" s="493">
        <f>SUM(F72:J72)</f>
        <v>5174</v>
      </c>
      <c r="M72" s="493">
        <f>L72/E72*100</f>
        <v>197.78287461773701</v>
      </c>
      <c r="N72" s="493">
        <f>SUM(N60:N71)</f>
        <v>2587</v>
      </c>
      <c r="O72" s="493">
        <f t="shared" ref="O72:O103" si="44">N72/E72*100</f>
        <v>98.891437308868504</v>
      </c>
      <c r="P72" s="493">
        <f t="shared" ref="P72:P103" si="45">F72/E72*100</f>
        <v>0</v>
      </c>
      <c r="Q72" s="108">
        <f t="shared" si="30"/>
        <v>5174</v>
      </c>
      <c r="R72" s="108">
        <f t="shared" si="31"/>
        <v>-2558</v>
      </c>
      <c r="S72" s="108"/>
    </row>
    <row r="73" spans="1:24" s="53" customFormat="1" ht="26.25" customHeight="1" x14ac:dyDescent="0.35">
      <c r="A73" s="32">
        <v>5</v>
      </c>
      <c r="B73" s="32">
        <v>1</v>
      </c>
      <c r="C73" s="452" t="s">
        <v>72</v>
      </c>
      <c r="D73" s="453" t="s">
        <v>70</v>
      </c>
      <c r="E73" s="454">
        <v>120</v>
      </c>
      <c r="F73" s="454">
        <v>0</v>
      </c>
      <c r="G73" s="454">
        <v>120</v>
      </c>
      <c r="H73" s="454">
        <v>0</v>
      </c>
      <c r="I73" s="454">
        <v>0</v>
      </c>
      <c r="J73" s="454">
        <v>0</v>
      </c>
      <c r="K73" s="454">
        <v>0</v>
      </c>
      <c r="L73" s="454">
        <f>SUM(F73:I73)</f>
        <v>120</v>
      </c>
      <c r="M73" s="454">
        <f>L73/E73*100</f>
        <v>100</v>
      </c>
      <c r="N73" s="454">
        <f>SUM(F73:H73)</f>
        <v>120</v>
      </c>
      <c r="O73" s="454">
        <f>N73/E73*100</f>
        <v>100</v>
      </c>
      <c r="P73" s="455">
        <f>F73/E73*100</f>
        <v>0</v>
      </c>
      <c r="Q73" s="108">
        <f t="shared" si="30"/>
        <v>120</v>
      </c>
      <c r="R73" s="108">
        <f t="shared" si="31"/>
        <v>0</v>
      </c>
      <c r="S73" s="108"/>
      <c r="X73" s="30"/>
    </row>
    <row r="74" spans="1:24" s="53" customFormat="1" ht="26.25" customHeight="1" x14ac:dyDescent="0.35">
      <c r="A74" s="34"/>
      <c r="B74" s="34">
        <v>2</v>
      </c>
      <c r="C74" s="456"/>
      <c r="D74" s="457" t="s">
        <v>71</v>
      </c>
      <c r="E74" s="455">
        <v>190</v>
      </c>
      <c r="F74" s="455">
        <v>0</v>
      </c>
      <c r="G74" s="455">
        <v>190</v>
      </c>
      <c r="H74" s="455">
        <v>0</v>
      </c>
      <c r="I74" s="455">
        <v>0</v>
      </c>
      <c r="J74" s="455">
        <v>0</v>
      </c>
      <c r="K74" s="455">
        <v>0</v>
      </c>
      <c r="L74" s="455">
        <f>SUM(F74:I74)</f>
        <v>190</v>
      </c>
      <c r="M74" s="455">
        <f t="shared" ref="M74:M79" si="46">L74/E74*100</f>
        <v>100</v>
      </c>
      <c r="N74" s="455">
        <f t="shared" ref="N74:N79" si="47">SUM(F74:H74)</f>
        <v>190</v>
      </c>
      <c r="O74" s="455">
        <f t="shared" ref="O74:O79" si="48">N74/E74*100</f>
        <v>100</v>
      </c>
      <c r="P74" s="455">
        <f t="shared" ref="P74:P79" si="49">F74/E74*100</f>
        <v>0</v>
      </c>
      <c r="Q74" s="108">
        <f t="shared" si="30"/>
        <v>190</v>
      </c>
      <c r="R74" s="108">
        <f>E74-Q74</f>
        <v>0</v>
      </c>
      <c r="S74" s="108"/>
      <c r="X74" s="30"/>
    </row>
    <row r="75" spans="1:24" s="53" customFormat="1" ht="26.25" customHeight="1" x14ac:dyDescent="0.35">
      <c r="A75" s="34"/>
      <c r="B75" s="34">
        <v>3</v>
      </c>
      <c r="C75" s="456"/>
      <c r="D75" s="457" t="s">
        <v>72</v>
      </c>
      <c r="E75" s="455">
        <v>490</v>
      </c>
      <c r="F75" s="455">
        <v>0</v>
      </c>
      <c r="G75" s="455">
        <v>482</v>
      </c>
      <c r="H75" s="455">
        <v>0</v>
      </c>
      <c r="I75" s="455">
        <v>0</v>
      </c>
      <c r="J75" s="455">
        <v>0</v>
      </c>
      <c r="K75" s="455">
        <v>0</v>
      </c>
      <c r="L75" s="455">
        <f t="shared" ref="L75:L79" si="50">SUM(F75:I75)</f>
        <v>482</v>
      </c>
      <c r="M75" s="455">
        <f t="shared" si="46"/>
        <v>98.367346938775512</v>
      </c>
      <c r="N75" s="455">
        <f t="shared" si="47"/>
        <v>482</v>
      </c>
      <c r="O75" s="455">
        <f t="shared" si="48"/>
        <v>98.367346938775512</v>
      </c>
      <c r="P75" s="455">
        <f t="shared" si="49"/>
        <v>0</v>
      </c>
      <c r="Q75" s="108">
        <f t="shared" si="30"/>
        <v>482</v>
      </c>
      <c r="R75" s="108">
        <f t="shared" si="31"/>
        <v>8</v>
      </c>
      <c r="S75" s="108"/>
      <c r="X75" s="30"/>
    </row>
    <row r="76" spans="1:24" s="53" customFormat="1" ht="26.25" customHeight="1" x14ac:dyDescent="0.35">
      <c r="A76" s="34"/>
      <c r="B76" s="34">
        <v>4</v>
      </c>
      <c r="C76" s="456"/>
      <c r="D76" s="457" t="s">
        <v>73</v>
      </c>
      <c r="E76" s="455">
        <v>212</v>
      </c>
      <c r="F76" s="455">
        <v>0</v>
      </c>
      <c r="G76" s="455">
        <v>212</v>
      </c>
      <c r="H76" s="455">
        <v>0</v>
      </c>
      <c r="I76" s="455">
        <v>0</v>
      </c>
      <c r="J76" s="455">
        <v>0</v>
      </c>
      <c r="K76" s="455">
        <v>0</v>
      </c>
      <c r="L76" s="455">
        <f t="shared" si="50"/>
        <v>212</v>
      </c>
      <c r="M76" s="455">
        <f t="shared" si="46"/>
        <v>100</v>
      </c>
      <c r="N76" s="455">
        <f t="shared" si="47"/>
        <v>212</v>
      </c>
      <c r="O76" s="455">
        <f t="shared" si="48"/>
        <v>100</v>
      </c>
      <c r="P76" s="455">
        <f t="shared" si="49"/>
        <v>0</v>
      </c>
      <c r="Q76" s="108">
        <f t="shared" si="30"/>
        <v>212</v>
      </c>
      <c r="R76" s="108">
        <f t="shared" si="31"/>
        <v>0</v>
      </c>
      <c r="S76" s="108"/>
      <c r="X76" s="30"/>
    </row>
    <row r="77" spans="1:24" s="53" customFormat="1" ht="26.25" customHeight="1" x14ac:dyDescent="0.35">
      <c r="A77" s="34"/>
      <c r="B77" s="34">
        <v>5</v>
      </c>
      <c r="C77" s="456"/>
      <c r="D77" s="457" t="s">
        <v>74</v>
      </c>
      <c r="E77" s="455">
        <v>66</v>
      </c>
      <c r="F77" s="455">
        <v>0</v>
      </c>
      <c r="G77" s="455">
        <v>66</v>
      </c>
      <c r="H77" s="455">
        <v>0</v>
      </c>
      <c r="I77" s="455">
        <v>5</v>
      </c>
      <c r="J77" s="455">
        <v>0</v>
      </c>
      <c r="K77" s="455">
        <v>0</v>
      </c>
      <c r="L77" s="455">
        <v>60</v>
      </c>
      <c r="M77" s="455">
        <f t="shared" si="46"/>
        <v>90.909090909090907</v>
      </c>
      <c r="N77" s="455">
        <f t="shared" si="47"/>
        <v>66</v>
      </c>
      <c r="O77" s="455">
        <f t="shared" si="48"/>
        <v>100</v>
      </c>
      <c r="P77" s="455">
        <f t="shared" si="49"/>
        <v>0</v>
      </c>
      <c r="Q77" s="108">
        <f t="shared" si="30"/>
        <v>71</v>
      </c>
      <c r="R77" s="108">
        <f t="shared" si="31"/>
        <v>-5</v>
      </c>
      <c r="S77" s="108"/>
      <c r="X77" s="30"/>
    </row>
    <row r="78" spans="1:24" s="53" customFormat="1" ht="26.25" customHeight="1" x14ac:dyDescent="0.35">
      <c r="A78" s="34"/>
      <c r="B78" s="34">
        <v>6</v>
      </c>
      <c r="C78" s="456"/>
      <c r="D78" s="457" t="s">
        <v>75</v>
      </c>
      <c r="E78" s="455">
        <v>282</v>
      </c>
      <c r="F78" s="455">
        <v>0</v>
      </c>
      <c r="G78" s="455">
        <v>282</v>
      </c>
      <c r="H78" s="455">
        <v>0</v>
      </c>
      <c r="I78" s="455">
        <v>4</v>
      </c>
      <c r="J78" s="455">
        <v>0</v>
      </c>
      <c r="K78" s="455">
        <v>0</v>
      </c>
      <c r="L78" s="455">
        <f t="shared" si="50"/>
        <v>286</v>
      </c>
      <c r="M78" s="455">
        <f t="shared" si="46"/>
        <v>101.41843971631207</v>
      </c>
      <c r="N78" s="455">
        <f t="shared" si="47"/>
        <v>282</v>
      </c>
      <c r="O78" s="455">
        <f t="shared" si="48"/>
        <v>100</v>
      </c>
      <c r="P78" s="455">
        <f t="shared" si="49"/>
        <v>0</v>
      </c>
      <c r="Q78" s="108">
        <f t="shared" si="30"/>
        <v>286</v>
      </c>
      <c r="R78" s="108">
        <f t="shared" si="31"/>
        <v>-4</v>
      </c>
      <c r="S78" s="108"/>
      <c r="X78" s="30"/>
    </row>
    <row r="79" spans="1:24" s="53" customFormat="1" ht="26.25" customHeight="1" x14ac:dyDescent="0.35">
      <c r="A79" s="54"/>
      <c r="B79" s="34">
        <v>7</v>
      </c>
      <c r="C79" s="456"/>
      <c r="D79" s="458" t="s">
        <v>76</v>
      </c>
      <c r="E79" s="455">
        <v>167</v>
      </c>
      <c r="F79" s="455">
        <v>0</v>
      </c>
      <c r="G79" s="455">
        <v>167</v>
      </c>
      <c r="H79" s="455">
        <v>0</v>
      </c>
      <c r="I79" s="455">
        <v>0</v>
      </c>
      <c r="J79" s="455">
        <v>0</v>
      </c>
      <c r="K79" s="455">
        <v>0</v>
      </c>
      <c r="L79" s="455">
        <f t="shared" si="50"/>
        <v>167</v>
      </c>
      <c r="M79" s="455">
        <f t="shared" si="46"/>
        <v>100</v>
      </c>
      <c r="N79" s="455">
        <f t="shared" si="47"/>
        <v>167</v>
      </c>
      <c r="O79" s="455">
        <f t="shared" si="48"/>
        <v>100</v>
      </c>
      <c r="P79" s="455">
        <f t="shared" si="49"/>
        <v>0</v>
      </c>
      <c r="Q79" s="108">
        <f t="shared" si="30"/>
        <v>167</v>
      </c>
      <c r="R79" s="108">
        <f t="shared" si="31"/>
        <v>0</v>
      </c>
      <c r="S79" s="108"/>
      <c r="X79" s="30"/>
    </row>
    <row r="80" spans="1:24" s="53" customFormat="1" ht="26.25" customHeight="1" x14ac:dyDescent="0.35">
      <c r="A80" s="110"/>
      <c r="B80" s="95"/>
      <c r="C80" s="383" t="s">
        <v>191</v>
      </c>
      <c r="D80" s="386"/>
      <c r="E80" s="94">
        <f>SUM(E73:E79)</f>
        <v>1527</v>
      </c>
      <c r="F80" s="94">
        <f t="shared" ref="F80:K80" si="51">SUM(F73:F79)</f>
        <v>0</v>
      </c>
      <c r="G80" s="94">
        <f>SUM(G73:G79)</f>
        <v>1519</v>
      </c>
      <c r="H80" s="94">
        <f t="shared" si="51"/>
        <v>0</v>
      </c>
      <c r="I80" s="94">
        <f t="shared" si="51"/>
        <v>9</v>
      </c>
      <c r="J80" s="94">
        <f t="shared" si="51"/>
        <v>0</v>
      </c>
      <c r="K80" s="94">
        <f t="shared" si="51"/>
        <v>0</v>
      </c>
      <c r="L80" s="107">
        <f>SUM(F80:I80)</f>
        <v>1528</v>
      </c>
      <c r="M80" s="94">
        <f t="shared" ref="M80:M103" si="52">L80/E80*100</f>
        <v>100.06548788474132</v>
      </c>
      <c r="N80" s="94">
        <f>SUM(N73:N79)</f>
        <v>1519</v>
      </c>
      <c r="O80" s="94">
        <f>N80/E80*100</f>
        <v>99.476096922069416</v>
      </c>
      <c r="P80" s="94">
        <f>F80/E80*100</f>
        <v>0</v>
      </c>
      <c r="Q80" s="108">
        <f t="shared" si="30"/>
        <v>1528</v>
      </c>
      <c r="R80" s="108">
        <f t="shared" si="31"/>
        <v>-1</v>
      </c>
      <c r="S80" s="108"/>
      <c r="X80" s="30"/>
    </row>
    <row r="81" spans="1:22" s="53" customFormat="1" ht="26.25" customHeight="1" thickBot="1" x14ac:dyDescent="0.4">
      <c r="A81" s="32">
        <v>6</v>
      </c>
      <c r="B81" s="32">
        <v>1</v>
      </c>
      <c r="C81" s="384" t="s">
        <v>126</v>
      </c>
      <c r="D81" s="459" t="s">
        <v>230</v>
      </c>
      <c r="E81" s="494">
        <v>296</v>
      </c>
      <c r="F81" s="490">
        <v>0</v>
      </c>
      <c r="G81" s="495">
        <v>250</v>
      </c>
      <c r="H81" s="490">
        <v>0</v>
      </c>
      <c r="I81" s="465">
        <v>0</v>
      </c>
      <c r="J81" s="465">
        <v>0</v>
      </c>
      <c r="K81" s="465">
        <v>0</v>
      </c>
      <c r="L81" s="495">
        <v>250</v>
      </c>
      <c r="M81" s="465">
        <f>L81/E81*100</f>
        <v>84.459459459459467</v>
      </c>
      <c r="N81" s="465">
        <f>SUM(F81:H81)</f>
        <v>250</v>
      </c>
      <c r="O81" s="465">
        <f>N81/E81*100</f>
        <v>84.459459459459467</v>
      </c>
      <c r="P81" s="465">
        <f>F81/E81*100</f>
        <v>0</v>
      </c>
      <c r="Q81" s="108">
        <f t="shared" si="30"/>
        <v>250</v>
      </c>
      <c r="R81" s="108">
        <f t="shared" si="31"/>
        <v>46</v>
      </c>
      <c r="S81" s="121" t="s">
        <v>208</v>
      </c>
      <c r="T81" s="118">
        <v>335</v>
      </c>
      <c r="U81" s="118">
        <v>106</v>
      </c>
      <c r="V81" s="119">
        <v>106</v>
      </c>
    </row>
    <row r="82" spans="1:22" s="53" customFormat="1" ht="26.25" customHeight="1" thickBot="1" x14ac:dyDescent="0.4">
      <c r="A82" s="34"/>
      <c r="B82" s="34">
        <v>2</v>
      </c>
      <c r="C82" s="117"/>
      <c r="D82" s="459" t="s">
        <v>231</v>
      </c>
      <c r="E82" s="494">
        <v>138</v>
      </c>
      <c r="F82" s="490">
        <v>0</v>
      </c>
      <c r="G82" s="460">
        <v>138</v>
      </c>
      <c r="H82" s="490">
        <v>0</v>
      </c>
      <c r="I82" s="465">
        <v>0</v>
      </c>
      <c r="J82" s="465">
        <v>0</v>
      </c>
      <c r="K82" s="465">
        <v>0</v>
      </c>
      <c r="L82" s="460">
        <v>138</v>
      </c>
      <c r="M82" s="465">
        <f t="shared" ref="M82:M90" si="53">L82/E82*100</f>
        <v>100</v>
      </c>
      <c r="N82" s="465">
        <f t="shared" ref="N82:N91" si="54">SUM(F82:H82)</f>
        <v>138</v>
      </c>
      <c r="O82" s="465">
        <f t="shared" ref="O82:O91" si="55">N82/E82*100</f>
        <v>100</v>
      </c>
      <c r="P82" s="465">
        <f t="shared" ref="P82:P90" si="56">F82/E82*100</f>
        <v>0</v>
      </c>
      <c r="Q82" s="108">
        <f t="shared" si="30"/>
        <v>138</v>
      </c>
      <c r="R82" s="108">
        <f t="shared" si="31"/>
        <v>0</v>
      </c>
      <c r="S82" s="121" t="s">
        <v>123</v>
      </c>
      <c r="T82" s="118">
        <v>950</v>
      </c>
      <c r="U82" s="118">
        <v>278</v>
      </c>
      <c r="V82" s="119">
        <v>278</v>
      </c>
    </row>
    <row r="83" spans="1:22" s="53" customFormat="1" ht="26.25" customHeight="1" thickBot="1" x14ac:dyDescent="0.4">
      <c r="A83" s="34"/>
      <c r="B83" s="34">
        <v>3</v>
      </c>
      <c r="C83" s="117"/>
      <c r="D83" s="459" t="s">
        <v>232</v>
      </c>
      <c r="E83" s="494">
        <v>274</v>
      </c>
      <c r="F83" s="490">
        <v>0</v>
      </c>
      <c r="G83" s="460">
        <v>274</v>
      </c>
      <c r="H83" s="490">
        <v>0</v>
      </c>
      <c r="I83" s="465">
        <v>0</v>
      </c>
      <c r="J83" s="465">
        <v>0</v>
      </c>
      <c r="K83" s="465">
        <v>0</v>
      </c>
      <c r="L83" s="460">
        <v>274</v>
      </c>
      <c r="M83" s="465">
        <f t="shared" si="53"/>
        <v>100</v>
      </c>
      <c r="N83" s="465">
        <f t="shared" si="54"/>
        <v>274</v>
      </c>
      <c r="O83" s="465">
        <f t="shared" si="55"/>
        <v>100</v>
      </c>
      <c r="P83" s="465">
        <f t="shared" si="56"/>
        <v>0</v>
      </c>
      <c r="Q83" s="108">
        <f t="shared" si="30"/>
        <v>274</v>
      </c>
      <c r="R83" s="108">
        <f t="shared" si="31"/>
        <v>0</v>
      </c>
      <c r="S83" s="121" t="s">
        <v>209</v>
      </c>
      <c r="T83" s="118">
        <v>1499</v>
      </c>
      <c r="U83" s="118">
        <v>483</v>
      </c>
      <c r="V83" s="119">
        <v>483</v>
      </c>
    </row>
    <row r="84" spans="1:22" s="53" customFormat="1" ht="26.25" customHeight="1" thickBot="1" x14ac:dyDescent="0.4">
      <c r="A84" s="34"/>
      <c r="B84" s="34">
        <v>4</v>
      </c>
      <c r="C84" s="117"/>
      <c r="D84" s="459" t="s">
        <v>233</v>
      </c>
      <c r="E84" s="496">
        <v>71</v>
      </c>
      <c r="F84" s="490">
        <v>0</v>
      </c>
      <c r="G84" s="460">
        <v>67</v>
      </c>
      <c r="H84" s="460">
        <v>4</v>
      </c>
      <c r="I84" s="465">
        <v>0</v>
      </c>
      <c r="J84" s="465">
        <v>0</v>
      </c>
      <c r="K84" s="465">
        <v>0</v>
      </c>
      <c r="L84" s="460">
        <v>71</v>
      </c>
      <c r="M84" s="465">
        <f t="shared" si="53"/>
        <v>100</v>
      </c>
      <c r="N84" s="465">
        <f t="shared" si="54"/>
        <v>71</v>
      </c>
      <c r="O84" s="465">
        <f t="shared" si="55"/>
        <v>100</v>
      </c>
      <c r="P84" s="465">
        <f t="shared" si="56"/>
        <v>0</v>
      </c>
      <c r="Q84" s="108">
        <f t="shared" si="30"/>
        <v>71</v>
      </c>
      <c r="R84" s="108">
        <f t="shared" si="31"/>
        <v>0</v>
      </c>
      <c r="S84" s="121" t="s">
        <v>124</v>
      </c>
      <c r="T84" s="118">
        <v>232</v>
      </c>
      <c r="U84" s="118">
        <v>66</v>
      </c>
      <c r="V84" s="119">
        <v>66</v>
      </c>
    </row>
    <row r="85" spans="1:22" s="53" customFormat="1" ht="26.25" customHeight="1" thickBot="1" x14ac:dyDescent="0.4">
      <c r="A85" s="34"/>
      <c r="B85" s="34">
        <v>5</v>
      </c>
      <c r="C85" s="117"/>
      <c r="D85" s="459" t="s">
        <v>239</v>
      </c>
      <c r="E85" s="496">
        <v>355</v>
      </c>
      <c r="F85" s="490">
        <v>0</v>
      </c>
      <c r="G85" s="460">
        <v>341</v>
      </c>
      <c r="H85" s="460">
        <v>14</v>
      </c>
      <c r="I85" s="465">
        <v>0</v>
      </c>
      <c r="J85" s="465">
        <v>0</v>
      </c>
      <c r="K85" s="465">
        <v>0</v>
      </c>
      <c r="L85" s="460">
        <v>355</v>
      </c>
      <c r="M85" s="465">
        <f t="shared" si="53"/>
        <v>100</v>
      </c>
      <c r="N85" s="465">
        <f t="shared" si="54"/>
        <v>355</v>
      </c>
      <c r="O85" s="465">
        <f t="shared" si="55"/>
        <v>100</v>
      </c>
      <c r="P85" s="465">
        <f t="shared" si="56"/>
        <v>0</v>
      </c>
      <c r="Q85" s="108">
        <f t="shared" si="30"/>
        <v>355</v>
      </c>
      <c r="R85" s="108">
        <f t="shared" si="31"/>
        <v>0</v>
      </c>
      <c r="S85" s="121" t="s">
        <v>210</v>
      </c>
      <c r="T85" s="118">
        <v>1166</v>
      </c>
      <c r="U85" s="118">
        <v>351</v>
      </c>
      <c r="V85" s="119">
        <v>351</v>
      </c>
    </row>
    <row r="86" spans="1:22" s="53" customFormat="1" ht="26.25" customHeight="1" thickBot="1" x14ac:dyDescent="0.4">
      <c r="A86" s="34"/>
      <c r="B86" s="56"/>
      <c r="C86" s="117"/>
      <c r="D86" s="459" t="s">
        <v>240</v>
      </c>
      <c r="E86" s="490">
        <v>154</v>
      </c>
      <c r="F86" s="490">
        <v>0</v>
      </c>
      <c r="G86" s="465">
        <v>0</v>
      </c>
      <c r="H86" s="490">
        <v>0</v>
      </c>
      <c r="I86" s="465">
        <v>0</v>
      </c>
      <c r="J86" s="465">
        <v>0</v>
      </c>
      <c r="K86" s="465">
        <v>0</v>
      </c>
      <c r="L86" s="465">
        <v>0</v>
      </c>
      <c r="M86" s="465">
        <f t="shared" si="53"/>
        <v>0</v>
      </c>
      <c r="N86" s="465">
        <f t="shared" si="54"/>
        <v>0</v>
      </c>
      <c r="O86" s="465">
        <f t="shared" si="55"/>
        <v>0</v>
      </c>
      <c r="P86" s="465">
        <f t="shared" si="56"/>
        <v>0</v>
      </c>
      <c r="Q86" s="108">
        <f t="shared" si="30"/>
        <v>0</v>
      </c>
      <c r="R86" s="108">
        <f t="shared" si="31"/>
        <v>154</v>
      </c>
      <c r="S86" s="121" t="s">
        <v>211</v>
      </c>
      <c r="T86" s="118">
        <v>470</v>
      </c>
      <c r="U86" s="118">
        <v>173</v>
      </c>
      <c r="V86" s="120">
        <v>173</v>
      </c>
    </row>
    <row r="87" spans="1:22" s="53" customFormat="1" ht="26.25" customHeight="1" thickBot="1" x14ac:dyDescent="0.4">
      <c r="A87" s="34"/>
      <c r="B87" s="34">
        <v>6</v>
      </c>
      <c r="C87" s="117"/>
      <c r="D87" s="459" t="s">
        <v>235</v>
      </c>
      <c r="E87" s="496">
        <v>187</v>
      </c>
      <c r="F87" s="490">
        <v>56</v>
      </c>
      <c r="G87" s="460">
        <v>124</v>
      </c>
      <c r="H87" s="490">
        <v>0</v>
      </c>
      <c r="I87" s="465">
        <v>7</v>
      </c>
      <c r="J87" s="465">
        <v>0</v>
      </c>
      <c r="K87" s="465">
        <v>0</v>
      </c>
      <c r="L87" s="460">
        <v>187</v>
      </c>
      <c r="M87" s="465">
        <f t="shared" si="53"/>
        <v>100</v>
      </c>
      <c r="N87" s="465">
        <f t="shared" si="54"/>
        <v>180</v>
      </c>
      <c r="O87" s="465">
        <f t="shared" si="55"/>
        <v>96.256684491978604</v>
      </c>
      <c r="P87" s="465">
        <f t="shared" si="56"/>
        <v>29.946524064171122</v>
      </c>
      <c r="Q87" s="108">
        <f>SUM(F87:K87)</f>
        <v>187</v>
      </c>
      <c r="R87" s="108">
        <f t="shared" si="31"/>
        <v>0</v>
      </c>
      <c r="S87" s="121" t="s">
        <v>125</v>
      </c>
      <c r="T87" s="118">
        <v>570</v>
      </c>
      <c r="U87" s="118">
        <v>175</v>
      </c>
      <c r="V87" s="119">
        <v>175</v>
      </c>
    </row>
    <row r="88" spans="1:22" s="53" customFormat="1" ht="26.25" customHeight="1" thickBot="1" x14ac:dyDescent="0.4">
      <c r="A88" s="34"/>
      <c r="B88" s="34">
        <v>7</v>
      </c>
      <c r="C88" s="117"/>
      <c r="D88" s="491" t="s">
        <v>236</v>
      </c>
      <c r="E88" s="496">
        <v>68</v>
      </c>
      <c r="F88" s="490">
        <v>20</v>
      </c>
      <c r="G88" s="460"/>
      <c r="H88" s="490">
        <v>0</v>
      </c>
      <c r="I88" s="465">
        <v>0</v>
      </c>
      <c r="J88" s="460">
        <v>48</v>
      </c>
      <c r="K88" s="465">
        <v>38</v>
      </c>
      <c r="L88" s="460">
        <v>25</v>
      </c>
      <c r="M88" s="465">
        <v>0</v>
      </c>
      <c r="N88" s="465">
        <f t="shared" si="54"/>
        <v>20</v>
      </c>
      <c r="O88" s="465">
        <f t="shared" si="55"/>
        <v>29.411764705882355</v>
      </c>
      <c r="P88" s="465">
        <v>20</v>
      </c>
      <c r="Q88" s="108">
        <f t="shared" si="30"/>
        <v>106</v>
      </c>
      <c r="R88" s="108">
        <f t="shared" si="31"/>
        <v>-38</v>
      </c>
      <c r="S88" s="121" t="s">
        <v>121</v>
      </c>
      <c r="T88" s="118">
        <v>842</v>
      </c>
      <c r="U88" s="118">
        <v>387</v>
      </c>
      <c r="V88" s="119">
        <v>387</v>
      </c>
    </row>
    <row r="89" spans="1:22" s="53" customFormat="1" ht="26.25" customHeight="1" thickBot="1" x14ac:dyDescent="0.4">
      <c r="A89" s="34"/>
      <c r="B89" s="34">
        <v>8</v>
      </c>
      <c r="C89" s="117"/>
      <c r="D89" s="491" t="s">
        <v>237</v>
      </c>
      <c r="E89" s="496">
        <v>189</v>
      </c>
      <c r="F89" s="465">
        <v>0</v>
      </c>
      <c r="G89" s="460">
        <v>20</v>
      </c>
      <c r="H89" s="465">
        <v>0</v>
      </c>
      <c r="I89" s="465">
        <v>0</v>
      </c>
      <c r="J89" s="460">
        <v>166</v>
      </c>
      <c r="K89" s="465">
        <v>0</v>
      </c>
      <c r="L89" s="460">
        <v>25</v>
      </c>
      <c r="M89" s="465">
        <f t="shared" si="53"/>
        <v>13.227513227513226</v>
      </c>
      <c r="N89" s="465">
        <f t="shared" si="54"/>
        <v>20</v>
      </c>
      <c r="O89" s="465">
        <f t="shared" si="55"/>
        <v>10.582010582010582</v>
      </c>
      <c r="P89" s="465">
        <f t="shared" si="56"/>
        <v>0</v>
      </c>
      <c r="Q89" s="108">
        <f t="shared" si="30"/>
        <v>186</v>
      </c>
      <c r="R89" s="108">
        <f t="shared" si="31"/>
        <v>3</v>
      </c>
      <c r="S89" s="121"/>
      <c r="T89" s="118"/>
      <c r="U89" s="118"/>
      <c r="V89" s="119"/>
    </row>
    <row r="90" spans="1:22" s="53" customFormat="1" ht="26.25" customHeight="1" thickBot="1" x14ac:dyDescent="0.4">
      <c r="A90" s="54"/>
      <c r="B90" s="54">
        <v>9</v>
      </c>
      <c r="C90" s="122"/>
      <c r="D90" s="492" t="s">
        <v>238</v>
      </c>
      <c r="E90" s="496">
        <v>384</v>
      </c>
      <c r="F90" s="465">
        <v>0</v>
      </c>
      <c r="G90" s="460">
        <v>293</v>
      </c>
      <c r="H90" s="465">
        <v>0</v>
      </c>
      <c r="I90" s="465">
        <v>2</v>
      </c>
      <c r="J90" s="460">
        <v>89</v>
      </c>
      <c r="K90" s="465">
        <v>0</v>
      </c>
      <c r="L90" s="460">
        <v>295</v>
      </c>
      <c r="M90" s="465">
        <f t="shared" si="53"/>
        <v>76.822916666666657</v>
      </c>
      <c r="N90" s="465">
        <f t="shared" si="54"/>
        <v>293</v>
      </c>
      <c r="O90" s="465">
        <f t="shared" si="55"/>
        <v>76.302083333333343</v>
      </c>
      <c r="P90" s="465">
        <f t="shared" si="56"/>
        <v>0</v>
      </c>
      <c r="Q90" s="108">
        <f t="shared" si="30"/>
        <v>384</v>
      </c>
      <c r="R90" s="108">
        <f t="shared" si="31"/>
        <v>0</v>
      </c>
      <c r="S90" s="121" t="s">
        <v>122</v>
      </c>
      <c r="T90" s="118">
        <v>291</v>
      </c>
      <c r="U90" s="118">
        <v>66</v>
      </c>
      <c r="V90" s="119">
        <v>66</v>
      </c>
    </row>
    <row r="91" spans="1:22" s="53" customFormat="1" ht="26.25" customHeight="1" x14ac:dyDescent="0.35">
      <c r="A91" s="93"/>
      <c r="B91" s="95"/>
      <c r="C91" s="383" t="s">
        <v>191</v>
      </c>
      <c r="D91" s="497"/>
      <c r="E91" s="400">
        <f>SUM(E81:E90)</f>
        <v>2116</v>
      </c>
      <c r="F91" s="400">
        <f t="shared" ref="F91:K91" si="57">SUM(F81:F90)</f>
        <v>76</v>
      </c>
      <c r="G91" s="400">
        <f t="shared" si="57"/>
        <v>1507</v>
      </c>
      <c r="H91" s="400">
        <f t="shared" si="57"/>
        <v>18</v>
      </c>
      <c r="I91" s="400">
        <f t="shared" si="57"/>
        <v>9</v>
      </c>
      <c r="J91" s="400">
        <f t="shared" si="57"/>
        <v>303</v>
      </c>
      <c r="K91" s="400">
        <f t="shared" si="57"/>
        <v>38</v>
      </c>
      <c r="L91" s="397">
        <f t="shared" ref="L91" si="58">SUM(F91:J91)</f>
        <v>1913</v>
      </c>
      <c r="M91" s="400">
        <f>L91/E91*100</f>
        <v>90.406427221172024</v>
      </c>
      <c r="N91" s="493">
        <f t="shared" si="54"/>
        <v>1601</v>
      </c>
      <c r="O91" s="397">
        <f t="shared" si="55"/>
        <v>75.661625708884685</v>
      </c>
      <c r="P91" s="400">
        <f>F91/E91*100</f>
        <v>3.5916824196597354</v>
      </c>
      <c r="Q91" s="108">
        <f t="shared" si="30"/>
        <v>1951</v>
      </c>
      <c r="R91" s="108">
        <f t="shared" si="31"/>
        <v>165</v>
      </c>
      <c r="S91" s="108"/>
    </row>
    <row r="92" spans="1:22" s="53" customFormat="1" ht="26.25" customHeight="1" x14ac:dyDescent="0.35">
      <c r="A92" s="32">
        <v>7</v>
      </c>
      <c r="B92" s="32">
        <v>1</v>
      </c>
      <c r="C92" s="384" t="s">
        <v>77</v>
      </c>
      <c r="D92" s="468" t="s">
        <v>91</v>
      </c>
      <c r="E92" s="465">
        <v>4250</v>
      </c>
      <c r="F92" s="465">
        <f>E92/2</f>
        <v>2125</v>
      </c>
      <c r="G92" s="465">
        <f>F92-50</f>
        <v>2075</v>
      </c>
      <c r="H92" s="465">
        <v>50</v>
      </c>
      <c r="I92" s="465">
        <v>0</v>
      </c>
      <c r="J92" s="465">
        <f>F92</f>
        <v>2125</v>
      </c>
      <c r="K92" s="465">
        <v>0</v>
      </c>
      <c r="L92" s="465">
        <f>SUM(F92:I92)</f>
        <v>4250</v>
      </c>
      <c r="M92" s="465">
        <f>L92/E92*100</f>
        <v>100</v>
      </c>
      <c r="N92" s="465">
        <f>G92</f>
        <v>2075</v>
      </c>
      <c r="O92" s="465">
        <f>N92/E92*100</f>
        <v>48.823529411764703</v>
      </c>
      <c r="P92" s="465">
        <f>F92/E92*100</f>
        <v>50</v>
      </c>
      <c r="Q92" s="108">
        <f t="shared" si="30"/>
        <v>6375</v>
      </c>
      <c r="R92" s="108">
        <f t="shared" si="31"/>
        <v>-2125</v>
      </c>
      <c r="S92" s="108"/>
    </row>
    <row r="93" spans="1:22" s="53" customFormat="1" ht="26.25" customHeight="1" x14ac:dyDescent="0.35">
      <c r="A93" s="34"/>
      <c r="B93" s="34">
        <v>2</v>
      </c>
      <c r="C93" s="117"/>
      <c r="D93" s="468" t="s">
        <v>92</v>
      </c>
      <c r="E93" s="465">
        <v>451</v>
      </c>
      <c r="F93" s="465">
        <v>39</v>
      </c>
      <c r="G93" s="465">
        <v>392</v>
      </c>
      <c r="H93" s="465">
        <v>20</v>
      </c>
      <c r="I93" s="465">
        <v>0</v>
      </c>
      <c r="J93" s="465">
        <f t="shared" ref="J93:J101" si="59">F93</f>
        <v>39</v>
      </c>
      <c r="K93" s="465">
        <v>0</v>
      </c>
      <c r="L93" s="465">
        <f>SUM(F93:I93)</f>
        <v>451</v>
      </c>
      <c r="M93" s="465">
        <f t="shared" ref="M93:M102" si="60">L93/E93*100</f>
        <v>100</v>
      </c>
      <c r="N93" s="465">
        <f t="shared" ref="N93:N101" si="61">G93</f>
        <v>392</v>
      </c>
      <c r="O93" s="465">
        <f t="shared" ref="O93:O101" si="62">N93/E93*100</f>
        <v>86.917960088691785</v>
      </c>
      <c r="P93" s="465">
        <f t="shared" ref="P93:P102" si="63">F93/E93*100</f>
        <v>8.6474501108647441</v>
      </c>
      <c r="Q93" s="108">
        <f t="shared" si="30"/>
        <v>490</v>
      </c>
      <c r="R93" s="108">
        <f t="shared" si="31"/>
        <v>-39</v>
      </c>
      <c r="S93" s="108"/>
    </row>
    <row r="94" spans="1:22" s="53" customFormat="1" ht="26.25" customHeight="1" x14ac:dyDescent="0.35">
      <c r="A94" s="34"/>
      <c r="B94" s="34">
        <v>3</v>
      </c>
      <c r="C94" s="117"/>
      <c r="D94" s="468" t="s">
        <v>93</v>
      </c>
      <c r="E94" s="465">
        <v>346</v>
      </c>
      <c r="F94" s="465">
        <v>60</v>
      </c>
      <c r="G94" s="465">
        <v>276</v>
      </c>
      <c r="H94" s="465">
        <v>10</v>
      </c>
      <c r="I94" s="465">
        <v>0</v>
      </c>
      <c r="J94" s="465">
        <f t="shared" si="59"/>
        <v>60</v>
      </c>
      <c r="K94" s="465">
        <v>0</v>
      </c>
      <c r="L94" s="465">
        <f t="shared" ref="L94:L100" si="64">SUM(F94:I94)</f>
        <v>346</v>
      </c>
      <c r="M94" s="465">
        <f t="shared" si="60"/>
        <v>100</v>
      </c>
      <c r="N94" s="465">
        <f>G94</f>
        <v>276</v>
      </c>
      <c r="O94" s="465">
        <f t="shared" si="62"/>
        <v>79.76878612716763</v>
      </c>
      <c r="P94" s="465">
        <f t="shared" si="63"/>
        <v>17.341040462427745</v>
      </c>
      <c r="Q94" s="108">
        <f t="shared" si="30"/>
        <v>406</v>
      </c>
      <c r="R94" s="108">
        <f t="shared" si="31"/>
        <v>-60</v>
      </c>
      <c r="S94" s="108"/>
    </row>
    <row r="95" spans="1:22" s="53" customFormat="1" ht="26.25" customHeight="1" x14ac:dyDescent="0.35">
      <c r="A95" s="34"/>
      <c r="B95" s="34">
        <v>4</v>
      </c>
      <c r="C95" s="117"/>
      <c r="D95" s="468" t="s">
        <v>94</v>
      </c>
      <c r="E95" s="465">
        <v>292</v>
      </c>
      <c r="F95" s="465">
        <f t="shared" ref="F95:F99" si="65">E95/2</f>
        <v>146</v>
      </c>
      <c r="G95" s="465">
        <f>F95-5</f>
        <v>141</v>
      </c>
      <c r="H95" s="465">
        <v>5</v>
      </c>
      <c r="I95" s="465">
        <v>0</v>
      </c>
      <c r="J95" s="465">
        <f>F95</f>
        <v>146</v>
      </c>
      <c r="K95" s="465">
        <v>0</v>
      </c>
      <c r="L95" s="465">
        <f t="shared" si="64"/>
        <v>292</v>
      </c>
      <c r="M95" s="465">
        <f t="shared" si="60"/>
        <v>100</v>
      </c>
      <c r="N95" s="465">
        <f t="shared" si="61"/>
        <v>141</v>
      </c>
      <c r="O95" s="465">
        <f t="shared" si="62"/>
        <v>48.287671232876711</v>
      </c>
      <c r="P95" s="465">
        <f t="shared" si="63"/>
        <v>50</v>
      </c>
      <c r="Q95" s="108">
        <f t="shared" si="30"/>
        <v>438</v>
      </c>
      <c r="R95" s="108">
        <f t="shared" si="31"/>
        <v>-146</v>
      </c>
      <c r="S95" s="108"/>
    </row>
    <row r="96" spans="1:22" s="53" customFormat="1" ht="26.25" customHeight="1" x14ac:dyDescent="0.35">
      <c r="A96" s="34"/>
      <c r="B96" s="34">
        <v>5</v>
      </c>
      <c r="C96" s="117"/>
      <c r="D96" s="468" t="s">
        <v>95</v>
      </c>
      <c r="E96" s="465">
        <v>270</v>
      </c>
      <c r="F96" s="465">
        <f t="shared" si="65"/>
        <v>135</v>
      </c>
      <c r="G96" s="465">
        <f>F96-H96</f>
        <v>125</v>
      </c>
      <c r="H96" s="465">
        <v>10</v>
      </c>
      <c r="I96" s="465">
        <v>0</v>
      </c>
      <c r="J96" s="465">
        <f t="shared" si="59"/>
        <v>135</v>
      </c>
      <c r="K96" s="465">
        <v>0</v>
      </c>
      <c r="L96" s="465">
        <f t="shared" si="64"/>
        <v>270</v>
      </c>
      <c r="M96" s="465">
        <f t="shared" si="60"/>
        <v>100</v>
      </c>
      <c r="N96" s="465">
        <f t="shared" si="61"/>
        <v>125</v>
      </c>
      <c r="O96" s="465">
        <f t="shared" si="62"/>
        <v>46.296296296296298</v>
      </c>
      <c r="P96" s="465">
        <f t="shared" si="63"/>
        <v>50</v>
      </c>
      <c r="Q96" s="108">
        <f t="shared" si="30"/>
        <v>405</v>
      </c>
      <c r="R96" s="108">
        <f t="shared" si="31"/>
        <v>-135</v>
      </c>
      <c r="S96" s="108"/>
    </row>
    <row r="97" spans="1:19" s="53" customFormat="1" ht="26.25" customHeight="1" x14ac:dyDescent="0.35">
      <c r="A97" s="34"/>
      <c r="B97" s="34">
        <v>6</v>
      </c>
      <c r="C97" s="117"/>
      <c r="D97" s="468" t="s">
        <v>96</v>
      </c>
      <c r="E97" s="465">
        <v>207</v>
      </c>
      <c r="F97" s="465">
        <f t="shared" si="65"/>
        <v>103.5</v>
      </c>
      <c r="G97" s="465">
        <f>F97-H97</f>
        <v>98.5</v>
      </c>
      <c r="H97" s="465">
        <v>5</v>
      </c>
      <c r="I97" s="465">
        <v>0</v>
      </c>
      <c r="J97" s="465">
        <f t="shared" si="59"/>
        <v>103.5</v>
      </c>
      <c r="K97" s="465">
        <v>0</v>
      </c>
      <c r="L97" s="465">
        <f t="shared" si="64"/>
        <v>207</v>
      </c>
      <c r="M97" s="465">
        <f t="shared" si="60"/>
        <v>100</v>
      </c>
      <c r="N97" s="465">
        <f t="shared" si="61"/>
        <v>98.5</v>
      </c>
      <c r="O97" s="465">
        <f t="shared" si="62"/>
        <v>47.584541062801932</v>
      </c>
      <c r="P97" s="465">
        <f t="shared" si="63"/>
        <v>50</v>
      </c>
      <c r="Q97" s="108">
        <f t="shared" si="30"/>
        <v>310.5</v>
      </c>
      <c r="R97" s="108">
        <f t="shared" si="31"/>
        <v>-103.5</v>
      </c>
      <c r="S97" s="108"/>
    </row>
    <row r="98" spans="1:19" s="53" customFormat="1" ht="26.25" customHeight="1" x14ac:dyDescent="0.35">
      <c r="A98" s="34"/>
      <c r="B98" s="34">
        <v>7</v>
      </c>
      <c r="C98" s="117"/>
      <c r="D98" s="468" t="s">
        <v>97</v>
      </c>
      <c r="E98" s="465">
        <v>201</v>
      </c>
      <c r="F98" s="465">
        <v>101</v>
      </c>
      <c r="G98" s="465">
        <v>98</v>
      </c>
      <c r="H98" s="465">
        <v>3</v>
      </c>
      <c r="I98" s="465">
        <v>0</v>
      </c>
      <c r="J98" s="465">
        <f t="shared" si="59"/>
        <v>101</v>
      </c>
      <c r="K98" s="465">
        <v>0</v>
      </c>
      <c r="L98" s="465">
        <f t="shared" si="64"/>
        <v>202</v>
      </c>
      <c r="M98" s="465">
        <f t="shared" si="60"/>
        <v>100.49751243781095</v>
      </c>
      <c r="N98" s="465">
        <f t="shared" si="61"/>
        <v>98</v>
      </c>
      <c r="O98" s="465">
        <f t="shared" si="62"/>
        <v>48.756218905472636</v>
      </c>
      <c r="P98" s="465">
        <f t="shared" si="63"/>
        <v>50.248756218905477</v>
      </c>
      <c r="Q98" s="108">
        <f t="shared" si="30"/>
        <v>303</v>
      </c>
      <c r="R98" s="108">
        <f t="shared" si="31"/>
        <v>-102</v>
      </c>
      <c r="S98" s="108"/>
    </row>
    <row r="99" spans="1:19" s="53" customFormat="1" ht="26.25" customHeight="1" x14ac:dyDescent="0.35">
      <c r="A99" s="34"/>
      <c r="B99" s="34">
        <v>8</v>
      </c>
      <c r="C99" s="117"/>
      <c r="D99" s="468" t="s">
        <v>98</v>
      </c>
      <c r="E99" s="465">
        <v>211</v>
      </c>
      <c r="F99" s="465">
        <f t="shared" si="65"/>
        <v>105.5</v>
      </c>
      <c r="G99" s="465">
        <v>102</v>
      </c>
      <c r="H99" s="465">
        <v>4</v>
      </c>
      <c r="I99" s="465">
        <v>0</v>
      </c>
      <c r="J99" s="465">
        <f t="shared" si="59"/>
        <v>105.5</v>
      </c>
      <c r="K99" s="465">
        <v>0</v>
      </c>
      <c r="L99" s="465">
        <f t="shared" si="64"/>
        <v>211.5</v>
      </c>
      <c r="M99" s="465">
        <f t="shared" si="60"/>
        <v>100.23696682464455</v>
      </c>
      <c r="N99" s="465">
        <f t="shared" si="61"/>
        <v>102</v>
      </c>
      <c r="O99" s="465">
        <f t="shared" si="62"/>
        <v>48.341232227488149</v>
      </c>
      <c r="P99" s="465">
        <f t="shared" si="63"/>
        <v>50</v>
      </c>
      <c r="Q99" s="108">
        <f t="shared" si="30"/>
        <v>317</v>
      </c>
      <c r="R99" s="108">
        <f t="shared" si="31"/>
        <v>-106</v>
      </c>
      <c r="S99" s="108"/>
    </row>
    <row r="100" spans="1:19" s="53" customFormat="1" ht="26.25" customHeight="1" x14ac:dyDescent="0.35">
      <c r="A100" s="34"/>
      <c r="B100" s="34">
        <v>9</v>
      </c>
      <c r="C100" s="117"/>
      <c r="D100" s="468" t="s">
        <v>99</v>
      </c>
      <c r="E100" s="465">
        <v>185</v>
      </c>
      <c r="F100" s="465">
        <v>95</v>
      </c>
      <c r="G100" s="465">
        <v>90</v>
      </c>
      <c r="H100" s="465">
        <v>5</v>
      </c>
      <c r="I100" s="465">
        <v>0</v>
      </c>
      <c r="J100" s="465">
        <f t="shared" si="59"/>
        <v>95</v>
      </c>
      <c r="K100" s="465">
        <v>0</v>
      </c>
      <c r="L100" s="465">
        <f t="shared" si="64"/>
        <v>190</v>
      </c>
      <c r="M100" s="465">
        <f t="shared" si="60"/>
        <v>102.70270270270269</v>
      </c>
      <c r="N100" s="465">
        <f t="shared" si="61"/>
        <v>90</v>
      </c>
      <c r="O100" s="465">
        <f t="shared" si="62"/>
        <v>48.648648648648653</v>
      </c>
      <c r="P100" s="465">
        <f t="shared" si="63"/>
        <v>51.351351351351347</v>
      </c>
      <c r="Q100" s="108">
        <f t="shared" si="30"/>
        <v>285</v>
      </c>
      <c r="R100" s="108">
        <f t="shared" si="31"/>
        <v>-100</v>
      </c>
      <c r="S100" s="108"/>
    </row>
    <row r="101" spans="1:19" s="53" customFormat="1" ht="26.25" customHeight="1" x14ac:dyDescent="0.35">
      <c r="A101" s="34"/>
      <c r="B101" s="34">
        <v>10</v>
      </c>
      <c r="C101" s="117"/>
      <c r="D101" s="468" t="s">
        <v>100</v>
      </c>
      <c r="E101" s="465">
        <v>96</v>
      </c>
      <c r="F101" s="465">
        <v>50</v>
      </c>
      <c r="G101" s="465">
        <v>43</v>
      </c>
      <c r="H101" s="465">
        <v>3</v>
      </c>
      <c r="I101" s="465">
        <v>0</v>
      </c>
      <c r="J101" s="465">
        <f t="shared" si="59"/>
        <v>50</v>
      </c>
      <c r="K101" s="465">
        <v>0</v>
      </c>
      <c r="L101" s="465">
        <f>SUM(F101:I101)</f>
        <v>96</v>
      </c>
      <c r="M101" s="465">
        <f t="shared" si="60"/>
        <v>100</v>
      </c>
      <c r="N101" s="465">
        <f t="shared" si="61"/>
        <v>43</v>
      </c>
      <c r="O101" s="465">
        <f t="shared" si="62"/>
        <v>44.791666666666671</v>
      </c>
      <c r="P101" s="465">
        <f t="shared" si="63"/>
        <v>52.083333333333336</v>
      </c>
      <c r="Q101" s="108">
        <f t="shared" si="30"/>
        <v>146</v>
      </c>
      <c r="R101" s="108">
        <f t="shared" si="31"/>
        <v>-50</v>
      </c>
      <c r="S101" s="108"/>
    </row>
    <row r="102" spans="1:19" s="53" customFormat="1" ht="26.25" customHeight="1" x14ac:dyDescent="0.35">
      <c r="A102" s="54"/>
      <c r="B102" s="34">
        <v>11</v>
      </c>
      <c r="C102" s="117"/>
      <c r="D102" s="468" t="s">
        <v>101</v>
      </c>
      <c r="E102" s="465">
        <v>48</v>
      </c>
      <c r="F102" s="465">
        <v>48</v>
      </c>
      <c r="G102" s="465">
        <v>44</v>
      </c>
      <c r="H102" s="465">
        <v>4</v>
      </c>
      <c r="I102" s="465">
        <v>0</v>
      </c>
      <c r="J102" s="465">
        <f>F102</f>
        <v>48</v>
      </c>
      <c r="K102" s="465">
        <v>0</v>
      </c>
      <c r="L102" s="465">
        <v>48</v>
      </c>
      <c r="M102" s="465">
        <f t="shared" si="60"/>
        <v>100</v>
      </c>
      <c r="N102" s="465">
        <f>G102</f>
        <v>44</v>
      </c>
      <c r="O102" s="465">
        <f>N102/E102*100</f>
        <v>91.666666666666657</v>
      </c>
      <c r="P102" s="465">
        <f t="shared" si="63"/>
        <v>100</v>
      </c>
      <c r="Q102" s="108">
        <f t="shared" si="30"/>
        <v>144</v>
      </c>
      <c r="R102" s="108">
        <f t="shared" si="31"/>
        <v>-96</v>
      </c>
      <c r="S102" s="108"/>
    </row>
    <row r="103" spans="1:19" s="53" customFormat="1" ht="26.25" customHeight="1" x14ac:dyDescent="0.35">
      <c r="A103" s="34"/>
      <c r="B103" s="93"/>
      <c r="C103" s="388"/>
      <c r="D103" s="383" t="s">
        <v>191</v>
      </c>
      <c r="E103" s="96">
        <f>SUM(E92:E102)</f>
        <v>6557</v>
      </c>
      <c r="F103" s="94">
        <f t="shared" ref="F103:K103" si="66">SUM(F92:F102)</f>
        <v>3008</v>
      </c>
      <c r="G103" s="96">
        <f t="shared" si="66"/>
        <v>3484.5</v>
      </c>
      <c r="H103" s="96">
        <f t="shared" si="66"/>
        <v>119</v>
      </c>
      <c r="I103" s="96">
        <f t="shared" si="66"/>
        <v>0</v>
      </c>
      <c r="J103" s="96">
        <f t="shared" si="66"/>
        <v>3008</v>
      </c>
      <c r="K103" s="96">
        <f t="shared" si="66"/>
        <v>0</v>
      </c>
      <c r="L103" s="94">
        <f>SUM(L92:L102)</f>
        <v>6563.5</v>
      </c>
      <c r="M103" s="96">
        <f t="shared" si="52"/>
        <v>100.09913070001527</v>
      </c>
      <c r="N103" s="96">
        <f>SUM(N92:N102)</f>
        <v>3484.5</v>
      </c>
      <c r="O103" s="96">
        <f t="shared" si="44"/>
        <v>53.141680646637177</v>
      </c>
      <c r="P103" s="96">
        <f t="shared" si="45"/>
        <v>45.874637791673024</v>
      </c>
      <c r="Q103" s="108">
        <f t="shared" si="30"/>
        <v>9619.5</v>
      </c>
      <c r="R103" s="108">
        <f t="shared" si="31"/>
        <v>-3062.5</v>
      </c>
      <c r="S103" s="108"/>
    </row>
    <row r="104" spans="1:19" s="52" customFormat="1" ht="26.25" customHeight="1" x14ac:dyDescent="0.35">
      <c r="A104" s="32">
        <v>8</v>
      </c>
      <c r="B104" s="32">
        <v>1</v>
      </c>
      <c r="C104" s="384">
        <v>2</v>
      </c>
      <c r="D104" s="633" t="s">
        <v>78</v>
      </c>
      <c r="E104" s="454">
        <v>912</v>
      </c>
      <c r="F104" s="634">
        <v>0</v>
      </c>
      <c r="G104" s="634">
        <v>911</v>
      </c>
      <c r="H104" s="634">
        <v>0</v>
      </c>
      <c r="I104" s="634">
        <v>1</v>
      </c>
      <c r="J104" s="634">
        <v>0</v>
      </c>
      <c r="K104" s="634">
        <v>0</v>
      </c>
      <c r="L104" s="454">
        <f>SUM(F104:I104)</f>
        <v>912</v>
      </c>
      <c r="M104" s="500">
        <f>L104/E104*100</f>
        <v>100</v>
      </c>
      <c r="N104" s="454">
        <f>SUM(F104:H104)</f>
        <v>911</v>
      </c>
      <c r="O104" s="635">
        <f>N104/E104*100</f>
        <v>99.890350877192986</v>
      </c>
      <c r="P104" s="454">
        <f>F104/E104*100</f>
        <v>0</v>
      </c>
      <c r="Q104" s="108">
        <f t="shared" si="30"/>
        <v>912</v>
      </c>
      <c r="R104" s="108">
        <f t="shared" si="31"/>
        <v>0</v>
      </c>
      <c r="S104" s="108"/>
    </row>
    <row r="105" spans="1:19" s="52" customFormat="1" ht="26.25" customHeight="1" x14ac:dyDescent="0.35">
      <c r="A105" s="34"/>
      <c r="B105" s="34">
        <v>2</v>
      </c>
      <c r="C105" s="418"/>
      <c r="D105" s="636" t="s">
        <v>79</v>
      </c>
      <c r="E105" s="455">
        <v>281</v>
      </c>
      <c r="F105" s="634">
        <v>281</v>
      </c>
      <c r="G105" s="634">
        <v>0</v>
      </c>
      <c r="H105" s="634">
        <v>0</v>
      </c>
      <c r="I105" s="634">
        <v>0</v>
      </c>
      <c r="J105" s="634">
        <v>0</v>
      </c>
      <c r="K105" s="634">
        <v>0</v>
      </c>
      <c r="L105" s="454">
        <f t="shared" ref="L105:L110" si="67">SUM(F105:I105)</f>
        <v>281</v>
      </c>
      <c r="M105" s="500">
        <f t="shared" ref="M105:M109" si="68">L105/E105*100</f>
        <v>100</v>
      </c>
      <c r="N105" s="454">
        <f t="shared" ref="N105:N110" si="69">SUM(F105:H105)</f>
        <v>281</v>
      </c>
      <c r="O105" s="635">
        <f t="shared" ref="O105:O110" si="70">N105/E105*100</f>
        <v>100</v>
      </c>
      <c r="P105" s="454">
        <f t="shared" ref="P105:P110" si="71">F105/E105*100</f>
        <v>100</v>
      </c>
      <c r="Q105" s="108">
        <f t="shared" si="30"/>
        <v>281</v>
      </c>
      <c r="R105" s="108">
        <f t="shared" si="31"/>
        <v>0</v>
      </c>
      <c r="S105" s="108"/>
    </row>
    <row r="106" spans="1:19" s="52" customFormat="1" ht="26.25" customHeight="1" x14ac:dyDescent="0.35">
      <c r="A106" s="34"/>
      <c r="B106" s="34">
        <v>3</v>
      </c>
      <c r="C106" s="418"/>
      <c r="D106" s="636" t="s">
        <v>80</v>
      </c>
      <c r="E106" s="455">
        <v>170</v>
      </c>
      <c r="F106" s="634">
        <v>167</v>
      </c>
      <c r="G106" s="634">
        <v>0</v>
      </c>
      <c r="H106" s="634">
        <v>0</v>
      </c>
      <c r="I106" s="634">
        <v>3</v>
      </c>
      <c r="J106" s="634">
        <v>0</v>
      </c>
      <c r="K106" s="634">
        <v>0</v>
      </c>
      <c r="L106" s="454">
        <f t="shared" si="67"/>
        <v>170</v>
      </c>
      <c r="M106" s="500">
        <f t="shared" si="68"/>
        <v>100</v>
      </c>
      <c r="N106" s="454">
        <f t="shared" si="69"/>
        <v>167</v>
      </c>
      <c r="O106" s="635">
        <f t="shared" si="70"/>
        <v>98.235294117647058</v>
      </c>
      <c r="P106" s="454">
        <f t="shared" si="71"/>
        <v>98.235294117647058</v>
      </c>
      <c r="Q106" s="108">
        <f t="shared" si="30"/>
        <v>170</v>
      </c>
      <c r="R106" s="108">
        <f t="shared" si="31"/>
        <v>0</v>
      </c>
      <c r="S106" s="108"/>
    </row>
    <row r="107" spans="1:19" s="52" customFormat="1" ht="26.25" customHeight="1" x14ac:dyDescent="0.35">
      <c r="A107" s="34"/>
      <c r="B107" s="34">
        <v>4</v>
      </c>
      <c r="C107" s="418"/>
      <c r="D107" s="636" t="s">
        <v>81</v>
      </c>
      <c r="E107" s="455">
        <v>274</v>
      </c>
      <c r="F107" s="634">
        <v>274</v>
      </c>
      <c r="G107" s="634">
        <v>0</v>
      </c>
      <c r="H107" s="634">
        <v>0</v>
      </c>
      <c r="I107" s="634">
        <v>0</v>
      </c>
      <c r="J107" s="634">
        <v>0</v>
      </c>
      <c r="K107" s="634">
        <v>0</v>
      </c>
      <c r="L107" s="454">
        <f t="shared" si="67"/>
        <v>274</v>
      </c>
      <c r="M107" s="500">
        <f t="shared" si="68"/>
        <v>100</v>
      </c>
      <c r="N107" s="454">
        <f t="shared" si="69"/>
        <v>274</v>
      </c>
      <c r="O107" s="635">
        <f t="shared" si="70"/>
        <v>100</v>
      </c>
      <c r="P107" s="454">
        <f t="shared" si="71"/>
        <v>100</v>
      </c>
      <c r="Q107" s="108">
        <f t="shared" si="30"/>
        <v>274</v>
      </c>
      <c r="R107" s="108">
        <f t="shared" si="31"/>
        <v>0</v>
      </c>
      <c r="S107" s="108"/>
    </row>
    <row r="108" spans="1:19" s="52" customFormat="1" ht="26.25" customHeight="1" x14ac:dyDescent="0.35">
      <c r="A108" s="34"/>
      <c r="B108" s="34">
        <v>5</v>
      </c>
      <c r="C108" s="418"/>
      <c r="D108" s="636" t="s">
        <v>82</v>
      </c>
      <c r="E108" s="455">
        <v>207</v>
      </c>
      <c r="F108" s="634">
        <v>207</v>
      </c>
      <c r="G108" s="634">
        <v>0</v>
      </c>
      <c r="H108" s="634">
        <v>0</v>
      </c>
      <c r="I108" s="634">
        <v>0</v>
      </c>
      <c r="J108" s="634">
        <v>0</v>
      </c>
      <c r="K108" s="634">
        <v>0</v>
      </c>
      <c r="L108" s="454">
        <f t="shared" si="67"/>
        <v>207</v>
      </c>
      <c r="M108" s="500">
        <f t="shared" si="68"/>
        <v>100</v>
      </c>
      <c r="N108" s="454">
        <f t="shared" si="69"/>
        <v>207</v>
      </c>
      <c r="O108" s="635">
        <f t="shared" si="70"/>
        <v>100</v>
      </c>
      <c r="P108" s="454">
        <f t="shared" si="71"/>
        <v>100</v>
      </c>
      <c r="Q108" s="108">
        <f t="shared" si="30"/>
        <v>207</v>
      </c>
      <c r="R108" s="108">
        <f t="shared" si="31"/>
        <v>0</v>
      </c>
      <c r="S108" s="108"/>
    </row>
    <row r="109" spans="1:19" s="52" customFormat="1" ht="26.25" customHeight="1" x14ac:dyDescent="0.35">
      <c r="A109" s="54"/>
      <c r="B109" s="34">
        <v>6</v>
      </c>
      <c r="C109" s="418"/>
      <c r="D109" s="636" t="s">
        <v>83</v>
      </c>
      <c r="E109" s="455">
        <v>922</v>
      </c>
      <c r="F109" s="634">
        <v>300</v>
      </c>
      <c r="G109" s="634">
        <v>300</v>
      </c>
      <c r="H109" s="634">
        <v>0</v>
      </c>
      <c r="I109" s="634">
        <v>5</v>
      </c>
      <c r="J109" s="634">
        <v>0</v>
      </c>
      <c r="K109" s="634">
        <v>0</v>
      </c>
      <c r="L109" s="454">
        <f t="shared" si="67"/>
        <v>605</v>
      </c>
      <c r="M109" s="500">
        <f t="shared" si="68"/>
        <v>65.618221258134497</v>
      </c>
      <c r="N109" s="454">
        <f t="shared" si="69"/>
        <v>600</v>
      </c>
      <c r="O109" s="635">
        <f t="shared" si="70"/>
        <v>65.075921908893704</v>
      </c>
      <c r="P109" s="454">
        <f t="shared" si="71"/>
        <v>32.537960954446852</v>
      </c>
      <c r="Q109" s="108">
        <f t="shared" si="30"/>
        <v>605</v>
      </c>
      <c r="R109" s="108">
        <f t="shared" si="31"/>
        <v>317</v>
      </c>
      <c r="S109" s="108"/>
    </row>
    <row r="110" spans="1:19" s="52" customFormat="1" ht="26.25" customHeight="1" x14ac:dyDescent="0.35">
      <c r="A110" s="34"/>
      <c r="B110" s="124"/>
      <c r="C110" s="538" t="s">
        <v>191</v>
      </c>
      <c r="D110" s="538"/>
      <c r="E110" s="493">
        <f t="shared" ref="E110:K110" si="72">SUM(E104:E109)</f>
        <v>2766</v>
      </c>
      <c r="F110" s="493">
        <f t="shared" si="72"/>
        <v>1229</v>
      </c>
      <c r="G110" s="493">
        <f t="shared" si="72"/>
        <v>1211</v>
      </c>
      <c r="H110" s="493">
        <f t="shared" si="72"/>
        <v>0</v>
      </c>
      <c r="I110" s="493">
        <f t="shared" si="72"/>
        <v>9</v>
      </c>
      <c r="J110" s="493">
        <f t="shared" si="72"/>
        <v>0</v>
      </c>
      <c r="K110" s="493">
        <f t="shared" si="72"/>
        <v>0</v>
      </c>
      <c r="L110" s="397">
        <f t="shared" si="67"/>
        <v>2449</v>
      </c>
      <c r="M110" s="533">
        <f>L110/E110*100</f>
        <v>88.539407086044832</v>
      </c>
      <c r="N110" s="397">
        <f t="shared" si="69"/>
        <v>2440</v>
      </c>
      <c r="O110" s="632">
        <f t="shared" si="70"/>
        <v>88.214027476500362</v>
      </c>
      <c r="P110" s="397">
        <f t="shared" si="71"/>
        <v>44.432393347794651</v>
      </c>
      <c r="Q110" s="108">
        <f t="shared" si="30"/>
        <v>2449</v>
      </c>
      <c r="R110" s="108">
        <f t="shared" si="31"/>
        <v>317</v>
      </c>
      <c r="S110" s="108"/>
    </row>
    <row r="111" spans="1:19" s="53" customFormat="1" ht="26.25" customHeight="1" x14ac:dyDescent="0.35">
      <c r="A111" s="32">
        <v>9</v>
      </c>
      <c r="B111" s="32">
        <v>1</v>
      </c>
      <c r="C111" s="174" t="s">
        <v>84</v>
      </c>
      <c r="D111" s="459" t="s">
        <v>90</v>
      </c>
      <c r="E111" s="536">
        <v>502</v>
      </c>
      <c r="F111" s="495">
        <v>0</v>
      </c>
      <c r="G111" s="536">
        <v>492</v>
      </c>
      <c r="H111" s="495">
        <v>10</v>
      </c>
      <c r="I111" s="465">
        <v>0</v>
      </c>
      <c r="J111" s="465">
        <v>0</v>
      </c>
      <c r="K111" s="465">
        <v>0</v>
      </c>
      <c r="L111" s="539">
        <f>SUM(F111:H111)</f>
        <v>502</v>
      </c>
      <c r="M111" s="465">
        <f>L111/E111*100</f>
        <v>100</v>
      </c>
      <c r="N111" s="495">
        <f>SUM(D111:F111)</f>
        <v>502</v>
      </c>
      <c r="O111" s="465">
        <f>N111/E111*100</f>
        <v>100</v>
      </c>
      <c r="P111" s="465">
        <f>F111/E111*100</f>
        <v>0</v>
      </c>
      <c r="Q111" s="108">
        <f t="shared" si="30"/>
        <v>502</v>
      </c>
      <c r="R111" s="108">
        <f t="shared" si="31"/>
        <v>0</v>
      </c>
      <c r="S111" s="108"/>
    </row>
    <row r="112" spans="1:19" s="53" customFormat="1" ht="26.25" customHeight="1" x14ac:dyDescent="0.35">
      <c r="A112" s="34"/>
      <c r="B112" s="34">
        <v>2</v>
      </c>
      <c r="C112" s="173"/>
      <c r="D112" s="459" t="s">
        <v>85</v>
      </c>
      <c r="E112" s="536">
        <v>159</v>
      </c>
      <c r="F112" s="460">
        <v>0</v>
      </c>
      <c r="G112" s="536">
        <v>150</v>
      </c>
      <c r="H112" s="460">
        <v>9</v>
      </c>
      <c r="I112" s="465">
        <v>0</v>
      </c>
      <c r="J112" s="465">
        <v>0</v>
      </c>
      <c r="K112" s="465">
        <v>0</v>
      </c>
      <c r="L112" s="539">
        <f t="shared" ref="L112:L118" si="73">SUM(F112:H112)</f>
        <v>159</v>
      </c>
      <c r="M112" s="465">
        <f t="shared" ref="M112:M117" si="74">L112/E112*100</f>
        <v>100</v>
      </c>
      <c r="N112" s="495">
        <f t="shared" ref="N112:N117" si="75">SUM(D112:F112)</f>
        <v>159</v>
      </c>
      <c r="O112" s="465">
        <f t="shared" ref="O112:O117" si="76">N112/E112*100</f>
        <v>100</v>
      </c>
      <c r="P112" s="465">
        <f t="shared" ref="P112:P117" si="77">F112/E112*100</f>
        <v>0</v>
      </c>
      <c r="Q112" s="108">
        <f t="shared" si="30"/>
        <v>159</v>
      </c>
      <c r="R112" s="108">
        <f t="shared" si="31"/>
        <v>0</v>
      </c>
      <c r="S112" s="108"/>
    </row>
    <row r="113" spans="1:19" s="53" customFormat="1" ht="26.25" customHeight="1" x14ac:dyDescent="0.35">
      <c r="A113" s="34"/>
      <c r="B113" s="34">
        <v>3</v>
      </c>
      <c r="C113" s="173"/>
      <c r="D113" s="459" t="s">
        <v>86</v>
      </c>
      <c r="E113" s="536">
        <v>187</v>
      </c>
      <c r="F113" s="460">
        <v>13</v>
      </c>
      <c r="G113" s="536">
        <v>164</v>
      </c>
      <c r="H113" s="460">
        <v>10</v>
      </c>
      <c r="I113" s="465">
        <v>0</v>
      </c>
      <c r="J113" s="465">
        <v>0</v>
      </c>
      <c r="K113" s="465">
        <v>0</v>
      </c>
      <c r="L113" s="539">
        <f t="shared" si="73"/>
        <v>187</v>
      </c>
      <c r="M113" s="465">
        <f t="shared" si="74"/>
        <v>100</v>
      </c>
      <c r="N113" s="495">
        <f t="shared" si="75"/>
        <v>200</v>
      </c>
      <c r="O113" s="465">
        <f t="shared" si="76"/>
        <v>106.95187165775401</v>
      </c>
      <c r="P113" s="465">
        <f>13/E113*100</f>
        <v>6.9518716577540109</v>
      </c>
      <c r="Q113" s="108">
        <f t="shared" si="30"/>
        <v>187</v>
      </c>
      <c r="R113" s="108">
        <f t="shared" si="31"/>
        <v>0</v>
      </c>
      <c r="S113" s="108"/>
    </row>
    <row r="114" spans="1:19" s="53" customFormat="1" ht="26.25" customHeight="1" x14ac:dyDescent="0.35">
      <c r="A114" s="34"/>
      <c r="B114" s="34">
        <v>4</v>
      </c>
      <c r="C114" s="173"/>
      <c r="D114" s="459" t="s">
        <v>70</v>
      </c>
      <c r="E114" s="536">
        <v>476</v>
      </c>
      <c r="F114" s="460">
        <v>25</v>
      </c>
      <c r="G114" s="536">
        <v>440</v>
      </c>
      <c r="H114" s="460">
        <v>11</v>
      </c>
      <c r="I114" s="465">
        <v>0</v>
      </c>
      <c r="J114" s="465">
        <v>0</v>
      </c>
      <c r="K114" s="465">
        <v>0</v>
      </c>
      <c r="L114" s="539">
        <f t="shared" si="73"/>
        <v>476</v>
      </c>
      <c r="M114" s="465">
        <f t="shared" si="74"/>
        <v>100</v>
      </c>
      <c r="N114" s="495">
        <f t="shared" si="75"/>
        <v>501</v>
      </c>
      <c r="O114" s="465">
        <f t="shared" si="76"/>
        <v>105.25210084033614</v>
      </c>
      <c r="P114" s="465">
        <f>25/E114*100</f>
        <v>5.2521008403361344</v>
      </c>
      <c r="Q114" s="108">
        <f t="shared" si="30"/>
        <v>476</v>
      </c>
      <c r="R114" s="108">
        <f t="shared" si="31"/>
        <v>0</v>
      </c>
      <c r="S114" s="108"/>
    </row>
    <row r="115" spans="1:19" s="53" customFormat="1" ht="26.25" customHeight="1" x14ac:dyDescent="0.35">
      <c r="A115" s="34"/>
      <c r="B115" s="34">
        <v>5</v>
      </c>
      <c r="C115" s="173"/>
      <c r="D115" s="459" t="s">
        <v>87</v>
      </c>
      <c r="E115" s="536">
        <v>334</v>
      </c>
      <c r="F115" s="460">
        <v>0</v>
      </c>
      <c r="G115" s="536">
        <v>328</v>
      </c>
      <c r="H115" s="460">
        <v>6</v>
      </c>
      <c r="I115" s="465">
        <v>0</v>
      </c>
      <c r="J115" s="465">
        <v>0</v>
      </c>
      <c r="K115" s="465">
        <v>0</v>
      </c>
      <c r="L115" s="539">
        <f t="shared" si="73"/>
        <v>334</v>
      </c>
      <c r="M115" s="465">
        <f t="shared" si="74"/>
        <v>100</v>
      </c>
      <c r="N115" s="495">
        <f t="shared" si="75"/>
        <v>334</v>
      </c>
      <c r="O115" s="465">
        <f t="shared" si="76"/>
        <v>100</v>
      </c>
      <c r="P115" s="465">
        <f t="shared" si="77"/>
        <v>0</v>
      </c>
      <c r="Q115" s="108">
        <f t="shared" ref="Q115:Q141" si="78">SUM(F115:K115)</f>
        <v>334</v>
      </c>
      <c r="R115" s="108">
        <f t="shared" ref="R115:R141" si="79">E115-Q115</f>
        <v>0</v>
      </c>
      <c r="S115" s="108"/>
    </row>
    <row r="116" spans="1:19" s="53" customFormat="1" ht="26.25" customHeight="1" x14ac:dyDescent="0.35">
      <c r="A116" s="34"/>
      <c r="B116" s="34">
        <v>6</v>
      </c>
      <c r="C116" s="173"/>
      <c r="D116" s="459" t="s">
        <v>88</v>
      </c>
      <c r="E116" s="536">
        <v>335</v>
      </c>
      <c r="F116" s="460">
        <v>20</v>
      </c>
      <c r="G116" s="536">
        <v>309</v>
      </c>
      <c r="H116" s="460">
        <v>6</v>
      </c>
      <c r="I116" s="465">
        <v>0</v>
      </c>
      <c r="J116" s="465">
        <v>0</v>
      </c>
      <c r="K116" s="465">
        <v>0</v>
      </c>
      <c r="L116" s="539">
        <f t="shared" si="73"/>
        <v>335</v>
      </c>
      <c r="M116" s="465">
        <f t="shared" si="74"/>
        <v>100</v>
      </c>
      <c r="N116" s="495">
        <f t="shared" si="75"/>
        <v>355</v>
      </c>
      <c r="O116" s="465">
        <f t="shared" si="76"/>
        <v>105.97014925373134</v>
      </c>
      <c r="P116" s="465">
        <f>20/E116*100</f>
        <v>5.9701492537313428</v>
      </c>
      <c r="Q116" s="108">
        <f t="shared" si="78"/>
        <v>335</v>
      </c>
      <c r="R116" s="108">
        <f t="shared" si="79"/>
        <v>0</v>
      </c>
      <c r="S116" s="108"/>
    </row>
    <row r="117" spans="1:19" s="53" customFormat="1" ht="26.25" customHeight="1" x14ac:dyDescent="0.35">
      <c r="A117" s="54"/>
      <c r="B117" s="54">
        <v>7</v>
      </c>
      <c r="C117" s="385"/>
      <c r="D117" s="459" t="s">
        <v>89</v>
      </c>
      <c r="E117" s="536">
        <v>46</v>
      </c>
      <c r="F117" s="460">
        <v>0</v>
      </c>
      <c r="G117" s="536">
        <v>42</v>
      </c>
      <c r="H117" s="460">
        <v>4</v>
      </c>
      <c r="I117" s="465">
        <v>0</v>
      </c>
      <c r="J117" s="465">
        <v>0</v>
      </c>
      <c r="K117" s="465">
        <v>0</v>
      </c>
      <c r="L117" s="539">
        <f t="shared" si="73"/>
        <v>46</v>
      </c>
      <c r="M117" s="465">
        <f t="shared" si="74"/>
        <v>100</v>
      </c>
      <c r="N117" s="495">
        <f t="shared" si="75"/>
        <v>46</v>
      </c>
      <c r="O117" s="465">
        <f t="shared" si="76"/>
        <v>100</v>
      </c>
      <c r="P117" s="465">
        <f t="shared" si="77"/>
        <v>0</v>
      </c>
      <c r="Q117" s="108">
        <f t="shared" si="78"/>
        <v>46</v>
      </c>
      <c r="R117" s="108">
        <f t="shared" si="79"/>
        <v>0</v>
      </c>
      <c r="S117" s="108"/>
    </row>
    <row r="118" spans="1:19" s="53" customFormat="1" ht="26.25" customHeight="1" x14ac:dyDescent="0.35">
      <c r="A118" s="93"/>
      <c r="B118" s="93"/>
      <c r="C118" s="96" t="s">
        <v>191</v>
      </c>
      <c r="D118" s="396"/>
      <c r="E118" s="94">
        <f>SUM(E111:E117)</f>
        <v>2039</v>
      </c>
      <c r="F118" s="94">
        <f>SUM(F111:F117)</f>
        <v>58</v>
      </c>
      <c r="G118" s="94">
        <f>SUM(G111:G117)</f>
        <v>1925</v>
      </c>
      <c r="H118" s="94">
        <f>SUM(H111:H117)</f>
        <v>56</v>
      </c>
      <c r="I118" s="94">
        <f t="shared" ref="I118:N118" si="80">SUM(I111:I117)</f>
        <v>0</v>
      </c>
      <c r="J118" s="94">
        <f t="shared" si="80"/>
        <v>0</v>
      </c>
      <c r="K118" s="94">
        <f t="shared" si="80"/>
        <v>0</v>
      </c>
      <c r="L118" s="400">
        <f t="shared" si="73"/>
        <v>2039</v>
      </c>
      <c r="M118" s="94">
        <f>L118/E118*100</f>
        <v>100</v>
      </c>
      <c r="N118" s="94">
        <f t="shared" si="80"/>
        <v>2097</v>
      </c>
      <c r="O118" s="94">
        <f>N118/E118*100</f>
        <v>102.84453163315351</v>
      </c>
      <c r="P118" s="94">
        <f t="shared" ref="P118" si="81">F118/E118*100</f>
        <v>2.8445316331535064</v>
      </c>
      <c r="Q118" s="108">
        <f t="shared" si="78"/>
        <v>2039</v>
      </c>
      <c r="R118" s="108">
        <f t="shared" si="79"/>
        <v>0</v>
      </c>
      <c r="S118" s="108"/>
    </row>
    <row r="119" spans="1:19" s="53" customFormat="1" ht="26.25" customHeight="1" x14ac:dyDescent="0.35">
      <c r="A119" s="177">
        <v>10</v>
      </c>
      <c r="B119" s="451">
        <v>1</v>
      </c>
      <c r="C119" s="389" t="s">
        <v>167</v>
      </c>
      <c r="D119" s="551" t="s">
        <v>168</v>
      </c>
      <c r="E119" s="611">
        <v>594</v>
      </c>
      <c r="F119" s="485">
        <v>196</v>
      </c>
      <c r="G119" s="485">
        <v>376</v>
      </c>
      <c r="H119" s="485">
        <v>22</v>
      </c>
      <c r="I119" s="485">
        <v>0</v>
      </c>
      <c r="J119" s="469">
        <v>654</v>
      </c>
      <c r="K119" s="469">
        <v>0</v>
      </c>
      <c r="L119" s="465">
        <f>SUM(F119:H119)</f>
        <v>594</v>
      </c>
      <c r="M119" s="465">
        <f t="shared" ref="M119:M128" si="82">L119/E119*100</f>
        <v>100</v>
      </c>
      <c r="N119" s="495">
        <f>SUM(F119:H119)</f>
        <v>594</v>
      </c>
      <c r="O119" s="465">
        <f t="shared" ref="O119:O129" si="83">N119/E119*100</f>
        <v>100</v>
      </c>
      <c r="P119" s="465">
        <f>F119/E119*100</f>
        <v>32.996632996632997</v>
      </c>
      <c r="Q119" s="178">
        <f t="shared" si="78"/>
        <v>1248</v>
      </c>
      <c r="R119" s="108">
        <f t="shared" si="79"/>
        <v>-654</v>
      </c>
      <c r="S119" s="108"/>
    </row>
    <row r="120" spans="1:19" s="53" customFormat="1" ht="26.25" customHeight="1" x14ac:dyDescent="0.35">
      <c r="A120" s="180"/>
      <c r="B120" s="451">
        <v>2</v>
      </c>
      <c r="C120" s="390"/>
      <c r="D120" s="551" t="s">
        <v>169</v>
      </c>
      <c r="E120" s="507">
        <v>96</v>
      </c>
      <c r="F120" s="485">
        <v>59</v>
      </c>
      <c r="G120" s="485">
        <v>31</v>
      </c>
      <c r="H120" s="485">
        <v>6</v>
      </c>
      <c r="I120" s="485">
        <v>0</v>
      </c>
      <c r="J120" s="469">
        <v>138</v>
      </c>
      <c r="K120" s="469">
        <v>0</v>
      </c>
      <c r="L120" s="465">
        <f t="shared" ref="L120:L128" si="84">SUM(F120:H120)</f>
        <v>96</v>
      </c>
      <c r="M120" s="465">
        <f t="shared" si="82"/>
        <v>100</v>
      </c>
      <c r="N120" s="495">
        <f t="shared" ref="N120:N128" si="85">SUM(F120:H120)</f>
        <v>96</v>
      </c>
      <c r="O120" s="465">
        <f t="shared" si="83"/>
        <v>100</v>
      </c>
      <c r="P120" s="465">
        <f t="shared" ref="P120:P129" si="86">F120/E120*100</f>
        <v>61.458333333333336</v>
      </c>
      <c r="Q120" s="178">
        <f t="shared" si="78"/>
        <v>234</v>
      </c>
      <c r="R120" s="108">
        <f t="shared" si="79"/>
        <v>-138</v>
      </c>
      <c r="S120" s="108"/>
    </row>
    <row r="121" spans="1:19" s="53" customFormat="1" ht="26.25" customHeight="1" x14ac:dyDescent="0.35">
      <c r="A121" s="180"/>
      <c r="B121" s="451">
        <v>3</v>
      </c>
      <c r="C121" s="390"/>
      <c r="D121" s="551" t="s">
        <v>170</v>
      </c>
      <c r="E121" s="507">
        <v>149</v>
      </c>
      <c r="F121" s="485">
        <v>48</v>
      </c>
      <c r="G121" s="485">
        <v>92</v>
      </c>
      <c r="H121" s="485">
        <v>9</v>
      </c>
      <c r="I121" s="485">
        <v>0</v>
      </c>
      <c r="J121" s="469">
        <v>150</v>
      </c>
      <c r="K121" s="469">
        <v>0</v>
      </c>
      <c r="L121" s="465">
        <f t="shared" si="84"/>
        <v>149</v>
      </c>
      <c r="M121" s="465">
        <f t="shared" si="82"/>
        <v>100</v>
      </c>
      <c r="N121" s="495">
        <f t="shared" si="85"/>
        <v>149</v>
      </c>
      <c r="O121" s="465">
        <f t="shared" si="83"/>
        <v>100</v>
      </c>
      <c r="P121" s="465">
        <f t="shared" si="86"/>
        <v>32.214765100671137</v>
      </c>
      <c r="Q121" s="178">
        <f t="shared" si="78"/>
        <v>299</v>
      </c>
      <c r="R121" s="108">
        <f t="shared" si="79"/>
        <v>-150</v>
      </c>
      <c r="S121" s="108"/>
    </row>
    <row r="122" spans="1:19" s="53" customFormat="1" ht="26.25" customHeight="1" x14ac:dyDescent="0.35">
      <c r="A122" s="180"/>
      <c r="B122" s="451">
        <v>4</v>
      </c>
      <c r="C122" s="390"/>
      <c r="D122" s="551" t="s">
        <v>171</v>
      </c>
      <c r="E122" s="507">
        <v>124</v>
      </c>
      <c r="F122" s="485">
        <v>25</v>
      </c>
      <c r="G122" s="485">
        <v>93</v>
      </c>
      <c r="H122" s="485">
        <v>6</v>
      </c>
      <c r="I122" s="485">
        <v>60</v>
      </c>
      <c r="J122" s="469">
        <v>60</v>
      </c>
      <c r="K122" s="469">
        <v>0</v>
      </c>
      <c r="L122" s="465">
        <f t="shared" si="84"/>
        <v>124</v>
      </c>
      <c r="M122" s="465">
        <f t="shared" si="82"/>
        <v>100</v>
      </c>
      <c r="N122" s="495">
        <f t="shared" si="85"/>
        <v>124</v>
      </c>
      <c r="O122" s="465">
        <f t="shared" si="83"/>
        <v>100</v>
      </c>
      <c r="P122" s="465">
        <f t="shared" si="86"/>
        <v>20.161290322580644</v>
      </c>
      <c r="Q122" s="178">
        <f t="shared" si="78"/>
        <v>244</v>
      </c>
      <c r="R122" s="108">
        <f t="shared" si="79"/>
        <v>-120</v>
      </c>
      <c r="S122" s="108"/>
    </row>
    <row r="123" spans="1:19" s="53" customFormat="1" ht="26.25" customHeight="1" x14ac:dyDescent="0.35">
      <c r="A123" s="180"/>
      <c r="B123" s="451">
        <v>5</v>
      </c>
      <c r="C123" s="390"/>
      <c r="D123" s="551" t="s">
        <v>175</v>
      </c>
      <c r="E123" s="507">
        <v>89</v>
      </c>
      <c r="F123" s="485">
        <v>18</v>
      </c>
      <c r="G123" s="485">
        <v>63</v>
      </c>
      <c r="H123" s="485">
        <v>8</v>
      </c>
      <c r="I123" s="485">
        <v>0</v>
      </c>
      <c r="J123" s="469">
        <v>93</v>
      </c>
      <c r="K123" s="469">
        <v>0</v>
      </c>
      <c r="L123" s="465">
        <f t="shared" si="84"/>
        <v>89</v>
      </c>
      <c r="M123" s="465">
        <f t="shared" si="82"/>
        <v>100</v>
      </c>
      <c r="N123" s="495">
        <f t="shared" si="85"/>
        <v>89</v>
      </c>
      <c r="O123" s="465">
        <f t="shared" si="83"/>
        <v>100</v>
      </c>
      <c r="P123" s="465">
        <f t="shared" si="86"/>
        <v>20.224719101123593</v>
      </c>
      <c r="Q123" s="178">
        <f t="shared" si="78"/>
        <v>182</v>
      </c>
      <c r="R123" s="108">
        <f t="shared" si="79"/>
        <v>-93</v>
      </c>
      <c r="S123" s="108"/>
    </row>
    <row r="124" spans="1:19" s="53" customFormat="1" ht="26.25" customHeight="1" x14ac:dyDescent="0.35">
      <c r="A124" s="180"/>
      <c r="B124" s="451">
        <v>6</v>
      </c>
      <c r="C124" s="390"/>
      <c r="D124" s="551" t="s">
        <v>174</v>
      </c>
      <c r="E124" s="507">
        <v>216</v>
      </c>
      <c r="F124" s="631">
        <v>61</v>
      </c>
      <c r="G124" s="631">
        <v>138</v>
      </c>
      <c r="H124" s="631">
        <v>17</v>
      </c>
      <c r="I124" s="631">
        <v>0</v>
      </c>
      <c r="J124" s="462">
        <v>245</v>
      </c>
      <c r="K124" s="469">
        <v>0</v>
      </c>
      <c r="L124" s="465">
        <f t="shared" si="84"/>
        <v>216</v>
      </c>
      <c r="M124" s="465">
        <f t="shared" si="82"/>
        <v>100</v>
      </c>
      <c r="N124" s="495">
        <f t="shared" si="85"/>
        <v>216</v>
      </c>
      <c r="O124" s="465">
        <f t="shared" si="83"/>
        <v>100</v>
      </c>
      <c r="P124" s="465">
        <f t="shared" si="86"/>
        <v>28.240740740740737</v>
      </c>
      <c r="Q124" s="178">
        <f>SUM(F124:K124)</f>
        <v>461</v>
      </c>
      <c r="R124" s="108">
        <f>E124-Q124</f>
        <v>-245</v>
      </c>
      <c r="S124" s="108"/>
    </row>
    <row r="125" spans="1:19" s="53" customFormat="1" ht="26.25" customHeight="1" x14ac:dyDescent="0.35">
      <c r="A125" s="180"/>
      <c r="B125" s="451">
        <v>7</v>
      </c>
      <c r="C125" s="390"/>
      <c r="D125" s="551" t="s">
        <v>172</v>
      </c>
      <c r="E125" s="507">
        <v>231</v>
      </c>
      <c r="F125" s="485">
        <v>57</v>
      </c>
      <c r="G125" s="485">
        <v>160</v>
      </c>
      <c r="H125" s="485">
        <v>14</v>
      </c>
      <c r="I125" s="485">
        <v>0</v>
      </c>
      <c r="J125" s="469">
        <v>260</v>
      </c>
      <c r="K125" s="469">
        <v>0</v>
      </c>
      <c r="L125" s="465">
        <f t="shared" si="84"/>
        <v>231</v>
      </c>
      <c r="M125" s="465">
        <f t="shared" si="82"/>
        <v>100</v>
      </c>
      <c r="N125" s="495">
        <f t="shared" si="85"/>
        <v>231</v>
      </c>
      <c r="O125" s="465">
        <f t="shared" si="83"/>
        <v>100</v>
      </c>
      <c r="P125" s="465">
        <f t="shared" si="86"/>
        <v>24.675324675324674</v>
      </c>
      <c r="Q125" s="178">
        <f t="shared" si="78"/>
        <v>491</v>
      </c>
      <c r="R125" s="108">
        <f t="shared" si="79"/>
        <v>-260</v>
      </c>
      <c r="S125" s="108"/>
    </row>
    <row r="126" spans="1:19" s="53" customFormat="1" ht="26.25" customHeight="1" x14ac:dyDescent="0.35">
      <c r="A126" s="180"/>
      <c r="B126" s="451">
        <v>8</v>
      </c>
      <c r="C126" s="390"/>
      <c r="D126" s="551" t="s">
        <v>178</v>
      </c>
      <c r="E126" s="507">
        <v>171</v>
      </c>
      <c r="F126" s="485">
        <v>52</v>
      </c>
      <c r="G126" s="485">
        <v>100</v>
      </c>
      <c r="H126" s="485">
        <v>18</v>
      </c>
      <c r="I126" s="485">
        <v>1</v>
      </c>
      <c r="J126" s="469">
        <v>220</v>
      </c>
      <c r="K126" s="469">
        <v>0</v>
      </c>
      <c r="L126" s="465">
        <f t="shared" si="84"/>
        <v>170</v>
      </c>
      <c r="M126" s="465">
        <f t="shared" si="82"/>
        <v>99.415204678362571</v>
      </c>
      <c r="N126" s="495">
        <f t="shared" si="85"/>
        <v>170</v>
      </c>
      <c r="O126" s="465">
        <f t="shared" si="83"/>
        <v>99.415204678362571</v>
      </c>
      <c r="P126" s="465">
        <f t="shared" si="86"/>
        <v>30.409356725146196</v>
      </c>
      <c r="Q126" s="178">
        <f t="shared" si="78"/>
        <v>391</v>
      </c>
      <c r="R126" s="108">
        <f t="shared" si="79"/>
        <v>-220</v>
      </c>
      <c r="S126" s="108"/>
    </row>
    <row r="127" spans="1:19" s="53" customFormat="1" ht="26.25" customHeight="1" x14ac:dyDescent="0.35">
      <c r="A127" s="180"/>
      <c r="B127" s="451">
        <v>9</v>
      </c>
      <c r="C127" s="390"/>
      <c r="D127" s="551" t="s">
        <v>173</v>
      </c>
      <c r="E127" s="507">
        <v>116</v>
      </c>
      <c r="F127" s="485">
        <v>24</v>
      </c>
      <c r="G127" s="485">
        <v>83</v>
      </c>
      <c r="H127" s="485">
        <v>9</v>
      </c>
      <c r="I127" s="485">
        <v>0</v>
      </c>
      <c r="J127" s="469">
        <v>133</v>
      </c>
      <c r="K127" s="469">
        <v>0</v>
      </c>
      <c r="L127" s="465">
        <f t="shared" si="84"/>
        <v>116</v>
      </c>
      <c r="M127" s="465">
        <f t="shared" si="82"/>
        <v>100</v>
      </c>
      <c r="N127" s="495">
        <f t="shared" si="85"/>
        <v>116</v>
      </c>
      <c r="O127" s="465">
        <f t="shared" si="83"/>
        <v>100</v>
      </c>
      <c r="P127" s="465">
        <f t="shared" si="86"/>
        <v>20.689655172413794</v>
      </c>
      <c r="Q127" s="178">
        <f t="shared" si="78"/>
        <v>249</v>
      </c>
      <c r="R127" s="108">
        <f t="shared" si="79"/>
        <v>-133</v>
      </c>
      <c r="S127" s="108"/>
    </row>
    <row r="128" spans="1:19" s="53" customFormat="1" ht="26.25" customHeight="1" x14ac:dyDescent="0.35">
      <c r="A128" s="181"/>
      <c r="B128" s="451">
        <v>10</v>
      </c>
      <c r="C128" s="391"/>
      <c r="D128" s="551" t="s">
        <v>177</v>
      </c>
      <c r="E128" s="507">
        <v>92</v>
      </c>
      <c r="F128" s="485">
        <v>43</v>
      </c>
      <c r="G128" s="485">
        <v>37</v>
      </c>
      <c r="H128" s="485">
        <v>12</v>
      </c>
      <c r="I128" s="485">
        <v>0</v>
      </c>
      <c r="J128" s="469">
        <v>132</v>
      </c>
      <c r="K128" s="469">
        <v>0</v>
      </c>
      <c r="L128" s="465">
        <f t="shared" si="84"/>
        <v>92</v>
      </c>
      <c r="M128" s="465">
        <f t="shared" si="82"/>
        <v>100</v>
      </c>
      <c r="N128" s="495">
        <f t="shared" si="85"/>
        <v>92</v>
      </c>
      <c r="O128" s="465">
        <f t="shared" si="83"/>
        <v>100</v>
      </c>
      <c r="P128" s="465">
        <f t="shared" si="86"/>
        <v>46.739130434782609</v>
      </c>
      <c r="Q128" s="178">
        <f t="shared" si="78"/>
        <v>224</v>
      </c>
      <c r="R128" s="108">
        <f t="shared" si="79"/>
        <v>-132</v>
      </c>
      <c r="S128" s="108"/>
    </row>
    <row r="129" spans="1:19" ht="28.5" customHeight="1" x14ac:dyDescent="0.35">
      <c r="A129" s="126"/>
      <c r="B129" s="126"/>
      <c r="C129" s="493" t="s">
        <v>191</v>
      </c>
      <c r="D129" s="493"/>
      <c r="E129" s="493">
        <f>SUM(E119:E128)</f>
        <v>1878</v>
      </c>
      <c r="F129" s="493">
        <f>SUM(F119:F128)</f>
        <v>583</v>
      </c>
      <c r="G129" s="493">
        <f>SUM(G119:G128)</f>
        <v>1173</v>
      </c>
      <c r="H129" s="493">
        <f>SUM(H119:H128)</f>
        <v>121</v>
      </c>
      <c r="I129" s="493">
        <f t="shared" ref="I129:K129" si="87">SUM(I119:I128)</f>
        <v>61</v>
      </c>
      <c r="J129" s="493">
        <f t="shared" si="87"/>
        <v>2085</v>
      </c>
      <c r="K129" s="493">
        <f t="shared" si="87"/>
        <v>0</v>
      </c>
      <c r="L129" s="493">
        <f>SUM(L119:L128)</f>
        <v>1877</v>
      </c>
      <c r="M129" s="493">
        <f>L129/E129*100</f>
        <v>99.946751863684767</v>
      </c>
      <c r="N129" s="493">
        <f>SUM(N119:N128)</f>
        <v>1877</v>
      </c>
      <c r="O129" s="493">
        <f t="shared" si="83"/>
        <v>99.946751863684767</v>
      </c>
      <c r="P129" s="493">
        <f t="shared" si="86"/>
        <v>31.043663471778487</v>
      </c>
      <c r="Q129" s="108">
        <f t="shared" si="78"/>
        <v>4023</v>
      </c>
      <c r="R129" s="108">
        <f t="shared" si="79"/>
        <v>-2145</v>
      </c>
      <c r="S129" s="108"/>
    </row>
    <row r="130" spans="1:19" s="53" customFormat="1" ht="26.25" customHeight="1" x14ac:dyDescent="0.35">
      <c r="A130" s="32">
        <v>11</v>
      </c>
      <c r="B130" s="32">
        <v>1</v>
      </c>
      <c r="C130" s="174" t="s">
        <v>190</v>
      </c>
      <c r="D130" s="459" t="s">
        <v>180</v>
      </c>
      <c r="E130" s="507">
        <v>143</v>
      </c>
      <c r="F130" s="507">
        <v>0</v>
      </c>
      <c r="G130" s="507">
        <v>129</v>
      </c>
      <c r="H130" s="507">
        <v>14</v>
      </c>
      <c r="I130" s="507">
        <v>0</v>
      </c>
      <c r="J130" s="507">
        <v>0</v>
      </c>
      <c r="K130" s="507">
        <v>0</v>
      </c>
      <c r="L130" s="465">
        <f>SUM(F130:H130)</f>
        <v>143</v>
      </c>
      <c r="M130" s="465">
        <f>L130/E130*100</f>
        <v>100</v>
      </c>
      <c r="N130" s="507">
        <v>143</v>
      </c>
      <c r="O130" s="465">
        <v>207.14285714285717</v>
      </c>
      <c r="P130" s="465">
        <f>F130/E130*100</f>
        <v>0</v>
      </c>
      <c r="Q130" s="108">
        <f t="shared" si="78"/>
        <v>143</v>
      </c>
      <c r="R130" s="108">
        <f t="shared" si="79"/>
        <v>0</v>
      </c>
      <c r="S130" s="108"/>
    </row>
    <row r="131" spans="1:19" s="53" customFormat="1" ht="26.25" customHeight="1" x14ac:dyDescent="0.35">
      <c r="A131" s="34"/>
      <c r="B131" s="34">
        <v>2</v>
      </c>
      <c r="C131" s="173"/>
      <c r="D131" s="459" t="s">
        <v>181</v>
      </c>
      <c r="E131" s="507">
        <v>180</v>
      </c>
      <c r="F131" s="507">
        <v>50</v>
      </c>
      <c r="G131" s="507">
        <v>130</v>
      </c>
      <c r="H131" s="507">
        <v>0</v>
      </c>
      <c r="I131" s="507">
        <v>0</v>
      </c>
      <c r="J131" s="507">
        <v>0</v>
      </c>
      <c r="K131" s="507">
        <v>0</v>
      </c>
      <c r="L131" s="465">
        <f t="shared" ref="L131:L140" si="88">SUM(F131:H131)</f>
        <v>180</v>
      </c>
      <c r="M131" s="465">
        <f t="shared" ref="M131:M141" si="89">L131/E131*100</f>
        <v>100</v>
      </c>
      <c r="N131" s="507">
        <v>130</v>
      </c>
      <c r="O131" s="465">
        <v>151.19047619047618</v>
      </c>
      <c r="P131" s="465">
        <f t="shared" ref="P131:P141" si="90">F131/E131*100</f>
        <v>27.777777777777779</v>
      </c>
      <c r="Q131" s="108">
        <f t="shared" si="78"/>
        <v>180</v>
      </c>
      <c r="R131" s="108">
        <f t="shared" si="79"/>
        <v>0</v>
      </c>
      <c r="S131" s="108"/>
    </row>
    <row r="132" spans="1:19" s="53" customFormat="1" ht="26.25" customHeight="1" x14ac:dyDescent="0.35">
      <c r="A132" s="34"/>
      <c r="B132" s="34">
        <v>3</v>
      </c>
      <c r="C132" s="173"/>
      <c r="D132" s="459" t="s">
        <v>182</v>
      </c>
      <c r="E132" s="507">
        <v>222</v>
      </c>
      <c r="F132" s="507">
        <v>53</v>
      </c>
      <c r="G132" s="507">
        <v>169</v>
      </c>
      <c r="H132" s="507">
        <v>0</v>
      </c>
      <c r="I132" s="507">
        <v>0</v>
      </c>
      <c r="J132" s="507">
        <v>0</v>
      </c>
      <c r="K132" s="507">
        <v>0</v>
      </c>
      <c r="L132" s="465">
        <f t="shared" si="88"/>
        <v>222</v>
      </c>
      <c r="M132" s="465">
        <f t="shared" si="89"/>
        <v>100</v>
      </c>
      <c r="N132" s="507">
        <v>169</v>
      </c>
      <c r="O132" s="465">
        <v>200</v>
      </c>
      <c r="P132" s="465">
        <f t="shared" si="90"/>
        <v>23.873873873873876</v>
      </c>
      <c r="Q132" s="108">
        <f t="shared" si="78"/>
        <v>222</v>
      </c>
      <c r="R132" s="108">
        <f t="shared" si="79"/>
        <v>0</v>
      </c>
      <c r="S132" s="108"/>
    </row>
    <row r="133" spans="1:19" s="53" customFormat="1" ht="26.25" customHeight="1" x14ac:dyDescent="0.35">
      <c r="A133" s="34"/>
      <c r="B133" s="32">
        <v>4</v>
      </c>
      <c r="C133" s="173"/>
      <c r="D133" s="459" t="s">
        <v>183</v>
      </c>
      <c r="E133" s="507">
        <v>99</v>
      </c>
      <c r="F133" s="507">
        <v>0</v>
      </c>
      <c r="G133" s="507">
        <v>99</v>
      </c>
      <c r="H133" s="507">
        <v>0</v>
      </c>
      <c r="I133" s="507">
        <v>0</v>
      </c>
      <c r="J133" s="507">
        <v>0</v>
      </c>
      <c r="K133" s="507">
        <v>0</v>
      </c>
      <c r="L133" s="465">
        <f t="shared" si="88"/>
        <v>99</v>
      </c>
      <c r="M133" s="465">
        <f t="shared" si="89"/>
        <v>100</v>
      </c>
      <c r="N133" s="507">
        <v>99</v>
      </c>
      <c r="O133" s="465">
        <v>200</v>
      </c>
      <c r="P133" s="465">
        <f t="shared" si="90"/>
        <v>0</v>
      </c>
      <c r="Q133" s="108">
        <f t="shared" si="78"/>
        <v>99</v>
      </c>
      <c r="R133" s="108">
        <f t="shared" si="79"/>
        <v>0</v>
      </c>
      <c r="S133" s="108"/>
    </row>
    <row r="134" spans="1:19" s="53" customFormat="1" ht="26.25" customHeight="1" x14ac:dyDescent="0.35">
      <c r="A134" s="450"/>
      <c r="B134" s="34">
        <v>5</v>
      </c>
      <c r="C134" s="173"/>
      <c r="D134" s="459" t="s">
        <v>184</v>
      </c>
      <c r="E134" s="507">
        <v>141</v>
      </c>
      <c r="F134" s="507">
        <v>50</v>
      </c>
      <c r="G134" s="507">
        <v>91</v>
      </c>
      <c r="H134" s="507">
        <v>0</v>
      </c>
      <c r="I134" s="507">
        <v>0</v>
      </c>
      <c r="J134" s="507">
        <v>0</v>
      </c>
      <c r="K134" s="507">
        <v>0</v>
      </c>
      <c r="L134" s="465">
        <f t="shared" si="88"/>
        <v>141</v>
      </c>
      <c r="M134" s="465">
        <f t="shared" si="89"/>
        <v>100</v>
      </c>
      <c r="N134" s="507">
        <v>91</v>
      </c>
      <c r="O134" s="465">
        <v>141.26984126984127</v>
      </c>
      <c r="P134" s="465">
        <f t="shared" si="90"/>
        <v>35.460992907801419</v>
      </c>
      <c r="Q134" s="108">
        <f t="shared" si="78"/>
        <v>141</v>
      </c>
      <c r="R134" s="108">
        <f t="shared" si="79"/>
        <v>0</v>
      </c>
      <c r="S134" s="108"/>
    </row>
    <row r="135" spans="1:19" s="53" customFormat="1" ht="26.25" customHeight="1" x14ac:dyDescent="0.35">
      <c r="A135" s="34"/>
      <c r="B135" s="34">
        <v>6</v>
      </c>
      <c r="C135" s="173"/>
      <c r="D135" s="459" t="s">
        <v>152</v>
      </c>
      <c r="E135" s="507">
        <v>412</v>
      </c>
      <c r="F135" s="507">
        <v>0</v>
      </c>
      <c r="G135" s="507">
        <v>362</v>
      </c>
      <c r="H135" s="507">
        <v>2</v>
      </c>
      <c r="I135" s="507">
        <v>0</v>
      </c>
      <c r="J135" s="507">
        <v>8</v>
      </c>
      <c r="K135" s="507">
        <v>40</v>
      </c>
      <c r="L135" s="465">
        <f t="shared" si="88"/>
        <v>364</v>
      </c>
      <c r="M135" s="465">
        <f t="shared" si="89"/>
        <v>88.349514563106794</v>
      </c>
      <c r="N135" s="507">
        <v>364</v>
      </c>
      <c r="O135" s="465">
        <v>183.44988344988343</v>
      </c>
      <c r="P135" s="465">
        <f t="shared" si="90"/>
        <v>0</v>
      </c>
      <c r="Q135" s="108">
        <f t="shared" si="78"/>
        <v>412</v>
      </c>
      <c r="R135" s="108">
        <f t="shared" si="79"/>
        <v>0</v>
      </c>
      <c r="S135" s="108"/>
    </row>
    <row r="136" spans="1:19" s="53" customFormat="1" ht="26.25" customHeight="1" x14ac:dyDescent="0.35">
      <c r="A136" s="34"/>
      <c r="B136" s="32">
        <v>7</v>
      </c>
      <c r="C136" s="173"/>
      <c r="D136" s="459" t="s">
        <v>185</v>
      </c>
      <c r="E136" s="507">
        <v>135</v>
      </c>
      <c r="F136" s="507">
        <v>0</v>
      </c>
      <c r="G136" s="507">
        <v>134</v>
      </c>
      <c r="H136" s="507">
        <v>1</v>
      </c>
      <c r="I136" s="507">
        <v>0</v>
      </c>
      <c r="J136" s="507">
        <v>0</v>
      </c>
      <c r="K136" s="507">
        <v>0</v>
      </c>
      <c r="L136" s="465">
        <f t="shared" si="88"/>
        <v>135</v>
      </c>
      <c r="M136" s="465">
        <f t="shared" si="89"/>
        <v>100</v>
      </c>
      <c r="N136" s="507">
        <v>134</v>
      </c>
      <c r="O136" s="465">
        <v>195.40816326530611</v>
      </c>
      <c r="P136" s="465">
        <f t="shared" si="90"/>
        <v>0</v>
      </c>
      <c r="Q136" s="108">
        <f t="shared" si="78"/>
        <v>135</v>
      </c>
      <c r="R136" s="108">
        <f t="shared" si="79"/>
        <v>0</v>
      </c>
      <c r="S136" s="108"/>
    </row>
    <row r="137" spans="1:19" s="53" customFormat="1" ht="26.25" customHeight="1" x14ac:dyDescent="0.35">
      <c r="A137" s="34"/>
      <c r="B137" s="34">
        <v>8</v>
      </c>
      <c r="C137" s="173"/>
      <c r="D137" s="459" t="s">
        <v>186</v>
      </c>
      <c r="E137" s="507">
        <v>228</v>
      </c>
      <c r="F137" s="507">
        <v>63</v>
      </c>
      <c r="G137" s="507">
        <v>165</v>
      </c>
      <c r="H137" s="507">
        <v>0</v>
      </c>
      <c r="I137" s="507">
        <v>0</v>
      </c>
      <c r="J137" s="507">
        <v>0</v>
      </c>
      <c r="K137" s="507">
        <v>0</v>
      </c>
      <c r="L137" s="465">
        <f t="shared" si="88"/>
        <v>228</v>
      </c>
      <c r="M137" s="465">
        <f t="shared" si="89"/>
        <v>100</v>
      </c>
      <c r="N137" s="507">
        <v>165</v>
      </c>
      <c r="O137" s="465">
        <v>189.31297709923663</v>
      </c>
      <c r="P137" s="465">
        <f t="shared" si="90"/>
        <v>27.631578947368425</v>
      </c>
      <c r="Q137" s="108">
        <f t="shared" si="78"/>
        <v>228</v>
      </c>
      <c r="R137" s="108">
        <f t="shared" si="79"/>
        <v>0</v>
      </c>
      <c r="S137" s="108"/>
    </row>
    <row r="138" spans="1:19" s="53" customFormat="1" ht="26.25" customHeight="1" x14ac:dyDescent="0.35">
      <c r="A138" s="34"/>
      <c r="B138" s="34">
        <v>9</v>
      </c>
      <c r="C138" s="173"/>
      <c r="D138" s="459" t="s">
        <v>187</v>
      </c>
      <c r="E138" s="507">
        <v>93</v>
      </c>
      <c r="F138" s="507">
        <v>0</v>
      </c>
      <c r="G138" s="507">
        <v>91</v>
      </c>
      <c r="H138" s="507">
        <v>2</v>
      </c>
      <c r="I138" s="507">
        <v>0</v>
      </c>
      <c r="J138" s="507">
        <v>0</v>
      </c>
      <c r="K138" s="507">
        <v>0</v>
      </c>
      <c r="L138" s="465">
        <f t="shared" si="88"/>
        <v>93</v>
      </c>
      <c r="M138" s="465">
        <f t="shared" si="89"/>
        <v>100</v>
      </c>
      <c r="N138" s="507">
        <v>91</v>
      </c>
      <c r="O138" s="465">
        <v>181.08108108108107</v>
      </c>
      <c r="P138" s="465">
        <f t="shared" si="90"/>
        <v>0</v>
      </c>
      <c r="Q138" s="108">
        <f t="shared" si="78"/>
        <v>93</v>
      </c>
      <c r="R138" s="108">
        <f t="shared" si="79"/>
        <v>0</v>
      </c>
      <c r="S138" s="108"/>
    </row>
    <row r="139" spans="1:19" s="53" customFormat="1" ht="26.25" customHeight="1" x14ac:dyDescent="0.35">
      <c r="A139" s="34"/>
      <c r="B139" s="32">
        <v>10</v>
      </c>
      <c r="C139" s="173"/>
      <c r="D139" s="459" t="s">
        <v>188</v>
      </c>
      <c r="E139" s="507">
        <v>196</v>
      </c>
      <c r="F139" s="507">
        <v>49</v>
      </c>
      <c r="G139" s="507">
        <v>147</v>
      </c>
      <c r="H139" s="507">
        <v>0</v>
      </c>
      <c r="I139" s="507">
        <v>0</v>
      </c>
      <c r="J139" s="507">
        <v>0</v>
      </c>
      <c r="K139" s="507">
        <v>0</v>
      </c>
      <c r="L139" s="465">
        <f t="shared" si="88"/>
        <v>196</v>
      </c>
      <c r="M139" s="465">
        <f t="shared" si="89"/>
        <v>100</v>
      </c>
      <c r="N139" s="507">
        <v>147</v>
      </c>
      <c r="O139" s="465">
        <v>184.71337579617835</v>
      </c>
      <c r="P139" s="465">
        <f t="shared" si="90"/>
        <v>25</v>
      </c>
      <c r="Q139" s="108">
        <f t="shared" si="78"/>
        <v>196</v>
      </c>
      <c r="R139" s="108">
        <f t="shared" si="79"/>
        <v>0</v>
      </c>
      <c r="S139" s="108"/>
    </row>
    <row r="140" spans="1:19" s="53" customFormat="1" ht="26.25" customHeight="1" x14ac:dyDescent="0.35">
      <c r="A140" s="54"/>
      <c r="B140" s="34">
        <v>11</v>
      </c>
      <c r="C140" s="385"/>
      <c r="D140" s="459" t="s">
        <v>189</v>
      </c>
      <c r="E140" s="507">
        <v>138</v>
      </c>
      <c r="F140" s="507">
        <v>55</v>
      </c>
      <c r="G140" s="507">
        <v>83</v>
      </c>
      <c r="H140" s="507">
        <v>0</v>
      </c>
      <c r="I140" s="507">
        <v>0</v>
      </c>
      <c r="J140" s="507">
        <v>0</v>
      </c>
      <c r="K140" s="507">
        <v>0</v>
      </c>
      <c r="L140" s="465">
        <f t="shared" si="88"/>
        <v>138</v>
      </c>
      <c r="M140" s="465">
        <f t="shared" si="89"/>
        <v>100</v>
      </c>
      <c r="N140" s="507">
        <v>83</v>
      </c>
      <c r="O140" s="465">
        <v>200</v>
      </c>
      <c r="P140" s="465">
        <f t="shared" si="90"/>
        <v>39.855072463768117</v>
      </c>
      <c r="Q140" s="108">
        <f t="shared" si="78"/>
        <v>138</v>
      </c>
      <c r="R140" s="108">
        <f t="shared" si="79"/>
        <v>0</v>
      </c>
      <c r="S140" s="108"/>
    </row>
    <row r="141" spans="1:19" s="53" customFormat="1" ht="26.25" customHeight="1" x14ac:dyDescent="0.35">
      <c r="A141" s="98"/>
      <c r="B141" s="99"/>
      <c r="C141" s="393" t="s">
        <v>191</v>
      </c>
      <c r="D141" s="393"/>
      <c r="E141" s="540">
        <f>SUM(E130:E140)</f>
        <v>1987</v>
      </c>
      <c r="F141" s="540">
        <f>SUM(F130:F140)</f>
        <v>320</v>
      </c>
      <c r="G141" s="540">
        <f t="shared" ref="G141:K141" si="91">SUM(G130:G140)</f>
        <v>1600</v>
      </c>
      <c r="H141" s="540">
        <f t="shared" si="91"/>
        <v>19</v>
      </c>
      <c r="I141" s="540">
        <f t="shared" si="91"/>
        <v>0</v>
      </c>
      <c r="J141" s="540">
        <f t="shared" si="91"/>
        <v>8</v>
      </c>
      <c r="K141" s="540">
        <f t="shared" si="91"/>
        <v>40</v>
      </c>
      <c r="L141" s="493">
        <f>SUM(F141:H141)</f>
        <v>1939</v>
      </c>
      <c r="M141" s="493">
        <f t="shared" si="89"/>
        <v>97.584297936587816</v>
      </c>
      <c r="N141" s="540">
        <f>SUM(N130:N140)</f>
        <v>1616</v>
      </c>
      <c r="O141" s="540">
        <f>N141/E141*100</f>
        <v>81.328636134876703</v>
      </c>
      <c r="P141" s="493">
        <f t="shared" si="90"/>
        <v>16.104680422747862</v>
      </c>
      <c r="Q141" s="108">
        <f t="shared" si="78"/>
        <v>1987</v>
      </c>
      <c r="R141" s="108">
        <f t="shared" si="79"/>
        <v>0</v>
      </c>
      <c r="S141" s="108"/>
    </row>
  </sheetData>
  <mergeCells count="33">
    <mergeCell ref="B4:P4"/>
    <mergeCell ref="A22:B22"/>
    <mergeCell ref="B3:P3"/>
    <mergeCell ref="C7:C10"/>
    <mergeCell ref="D7:D10"/>
    <mergeCell ref="E7:E10"/>
    <mergeCell ref="F7:K8"/>
    <mergeCell ref="L7:M8"/>
    <mergeCell ref="N7:O9"/>
    <mergeCell ref="F9:F10"/>
    <mergeCell ref="G9:G10"/>
    <mergeCell ref="H9:H10"/>
    <mergeCell ref="I9:I10"/>
    <mergeCell ref="J9:J10"/>
    <mergeCell ref="B5:P5"/>
    <mergeCell ref="L9:L10"/>
    <mergeCell ref="C23:D23"/>
    <mergeCell ref="A11:B11"/>
    <mergeCell ref="A12:B12"/>
    <mergeCell ref="A13:B13"/>
    <mergeCell ref="A14:B14"/>
    <mergeCell ref="A15:B15"/>
    <mergeCell ref="A16:B16"/>
    <mergeCell ref="A17:B17"/>
    <mergeCell ref="A18:B18"/>
    <mergeCell ref="A23:B23"/>
    <mergeCell ref="P7:P10"/>
    <mergeCell ref="A20:B20"/>
    <mergeCell ref="A19:B19"/>
    <mergeCell ref="A7:B10"/>
    <mergeCell ref="A21:B21"/>
    <mergeCell ref="K9:K10"/>
    <mergeCell ref="M9:M10"/>
  </mergeCells>
  <printOptions horizontalCentered="1"/>
  <pageMargins left="0.47244094488188981" right="0.47244094488188981" top="0.74803149606299213" bottom="0.74803149606299213" header="0.31496062992125984" footer="0.31496062992125984"/>
  <pageSetup paperSize="5" scale="56" orientation="landscape" horizontalDpi="4294967293" r:id="rId1"/>
  <rowBreaks count="5" manualBreakCount="5">
    <brk id="24" max="15" man="1"/>
    <brk id="49" max="15" man="1"/>
    <brk id="59" max="15" man="1"/>
    <brk id="103" max="15" man="1"/>
    <brk id="129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8">
    <tabColor rgb="FFC00000"/>
  </sheetPr>
  <dimension ref="A2:AL143"/>
  <sheetViews>
    <sheetView view="pageBreakPreview" topLeftCell="E1" zoomScale="60" zoomScaleNormal="60" workbookViewId="0">
      <selection activeCell="AB10" sqref="AB10"/>
    </sheetView>
  </sheetViews>
  <sheetFormatPr defaultColWidth="8.81640625" defaultRowHeight="15.5" x14ac:dyDescent="0.35"/>
  <cols>
    <col min="1" max="1" width="5.54296875" style="73" customWidth="1"/>
    <col min="2" max="2" width="5.7265625" style="1" customWidth="1"/>
    <col min="3" max="3" width="24.81640625" style="1" customWidth="1"/>
    <col min="4" max="4" width="23.54296875" style="1" customWidth="1"/>
    <col min="5" max="5" width="11.7265625" style="1" customWidth="1"/>
    <col min="6" max="6" width="11.26953125" style="1" customWidth="1"/>
    <col min="7" max="7" width="10.54296875" style="1" customWidth="1"/>
    <col min="8" max="8" width="12.54296875" style="1" customWidth="1"/>
    <col min="9" max="9" width="11.26953125" style="1" customWidth="1"/>
    <col min="10" max="10" width="10.1796875" style="1" customWidth="1"/>
    <col min="11" max="11" width="11" style="1" customWidth="1"/>
    <col min="12" max="12" width="16.26953125" style="1" customWidth="1"/>
    <col min="13" max="13" width="11.7265625" style="1" customWidth="1"/>
    <col min="14" max="14" width="10.26953125" style="1" customWidth="1"/>
    <col min="15" max="15" width="13.26953125" style="1" customWidth="1"/>
    <col min="16" max="16" width="11.26953125" style="1" customWidth="1"/>
    <col min="17" max="17" width="10.453125" style="1" customWidth="1"/>
    <col min="18" max="18" width="9.54296875" style="1" customWidth="1"/>
    <col min="19" max="19" width="11.1796875" style="1" customWidth="1"/>
    <col min="20" max="20" width="10.81640625" style="1" customWidth="1"/>
    <col min="21" max="21" width="12.81640625" style="1" customWidth="1"/>
    <col min="22" max="22" width="10.26953125" style="1" customWidth="1"/>
    <col min="23" max="38" width="9.1796875" style="1" customWidth="1"/>
    <col min="39" max="257" width="8.81640625" style="7"/>
    <col min="258" max="258" width="5.7265625" style="7" customWidth="1"/>
    <col min="259" max="259" width="26.453125" style="7" customWidth="1"/>
    <col min="260" max="260" width="27.7265625" style="7" customWidth="1"/>
    <col min="261" max="261" width="23.7265625" style="7" customWidth="1"/>
    <col min="262" max="262" width="17.26953125" style="7" customWidth="1"/>
    <col min="263" max="267" width="13.54296875" style="7" customWidth="1"/>
    <col min="268" max="268" width="17.7265625" style="7" customWidth="1"/>
    <col min="269" max="269" width="13.54296875" style="7" customWidth="1"/>
    <col min="270" max="270" width="12.81640625" style="7" customWidth="1"/>
    <col min="271" max="271" width="11.453125" style="7" customWidth="1"/>
    <col min="272" max="272" width="14" style="7" customWidth="1"/>
    <col min="273" max="273" width="11.1796875" style="7" customWidth="1"/>
    <col min="274" max="275" width="12.81640625" style="7" customWidth="1"/>
    <col min="276" max="276" width="18.453125" style="7" customWidth="1"/>
    <col min="277" max="277" width="26" style="7" customWidth="1"/>
    <col min="278" max="278" width="19.1796875" style="7" customWidth="1"/>
    <col min="279" max="294" width="9.1796875" style="7" customWidth="1"/>
    <col min="295" max="513" width="8.81640625" style="7"/>
    <col min="514" max="514" width="5.7265625" style="7" customWidth="1"/>
    <col min="515" max="515" width="26.453125" style="7" customWidth="1"/>
    <col min="516" max="516" width="27.7265625" style="7" customWidth="1"/>
    <col min="517" max="517" width="23.7265625" style="7" customWidth="1"/>
    <col min="518" max="518" width="17.26953125" style="7" customWidth="1"/>
    <col min="519" max="523" width="13.54296875" style="7" customWidth="1"/>
    <col min="524" max="524" width="17.7265625" style="7" customWidth="1"/>
    <col min="525" max="525" width="13.54296875" style="7" customWidth="1"/>
    <col min="526" max="526" width="12.81640625" style="7" customWidth="1"/>
    <col min="527" max="527" width="11.453125" style="7" customWidth="1"/>
    <col min="528" max="528" width="14" style="7" customWidth="1"/>
    <col min="529" max="529" width="11.1796875" style="7" customWidth="1"/>
    <col min="530" max="531" width="12.81640625" style="7" customWidth="1"/>
    <col min="532" max="532" width="18.453125" style="7" customWidth="1"/>
    <col min="533" max="533" width="26" style="7" customWidth="1"/>
    <col min="534" max="534" width="19.1796875" style="7" customWidth="1"/>
    <col min="535" max="550" width="9.1796875" style="7" customWidth="1"/>
    <col min="551" max="769" width="8.81640625" style="7"/>
    <col min="770" max="770" width="5.7265625" style="7" customWidth="1"/>
    <col min="771" max="771" width="26.453125" style="7" customWidth="1"/>
    <col min="772" max="772" width="27.7265625" style="7" customWidth="1"/>
    <col min="773" max="773" width="23.7265625" style="7" customWidth="1"/>
    <col min="774" max="774" width="17.26953125" style="7" customWidth="1"/>
    <col min="775" max="779" width="13.54296875" style="7" customWidth="1"/>
    <col min="780" max="780" width="17.7265625" style="7" customWidth="1"/>
    <col min="781" max="781" width="13.54296875" style="7" customWidth="1"/>
    <col min="782" max="782" width="12.81640625" style="7" customWidth="1"/>
    <col min="783" max="783" width="11.453125" style="7" customWidth="1"/>
    <col min="784" max="784" width="14" style="7" customWidth="1"/>
    <col min="785" max="785" width="11.1796875" style="7" customWidth="1"/>
    <col min="786" max="787" width="12.81640625" style="7" customWidth="1"/>
    <col min="788" max="788" width="18.453125" style="7" customWidth="1"/>
    <col min="789" max="789" width="26" style="7" customWidth="1"/>
    <col min="790" max="790" width="19.1796875" style="7" customWidth="1"/>
    <col min="791" max="806" width="9.1796875" style="7" customWidth="1"/>
    <col min="807" max="1025" width="8.81640625" style="7"/>
    <col min="1026" max="1026" width="5.7265625" style="7" customWidth="1"/>
    <col min="1027" max="1027" width="26.453125" style="7" customWidth="1"/>
    <col min="1028" max="1028" width="27.7265625" style="7" customWidth="1"/>
    <col min="1029" max="1029" width="23.7265625" style="7" customWidth="1"/>
    <col min="1030" max="1030" width="17.26953125" style="7" customWidth="1"/>
    <col min="1031" max="1035" width="13.54296875" style="7" customWidth="1"/>
    <col min="1036" max="1036" width="17.7265625" style="7" customWidth="1"/>
    <col min="1037" max="1037" width="13.54296875" style="7" customWidth="1"/>
    <col min="1038" max="1038" width="12.81640625" style="7" customWidth="1"/>
    <col min="1039" max="1039" width="11.453125" style="7" customWidth="1"/>
    <col min="1040" max="1040" width="14" style="7" customWidth="1"/>
    <col min="1041" max="1041" width="11.1796875" style="7" customWidth="1"/>
    <col min="1042" max="1043" width="12.81640625" style="7" customWidth="1"/>
    <col min="1044" max="1044" width="18.453125" style="7" customWidth="1"/>
    <col min="1045" max="1045" width="26" style="7" customWidth="1"/>
    <col min="1046" max="1046" width="19.1796875" style="7" customWidth="1"/>
    <col min="1047" max="1062" width="9.1796875" style="7" customWidth="1"/>
    <col min="1063" max="1281" width="8.81640625" style="7"/>
    <col min="1282" max="1282" width="5.7265625" style="7" customWidth="1"/>
    <col min="1283" max="1283" width="26.453125" style="7" customWidth="1"/>
    <col min="1284" max="1284" width="27.7265625" style="7" customWidth="1"/>
    <col min="1285" max="1285" width="23.7265625" style="7" customWidth="1"/>
    <col min="1286" max="1286" width="17.26953125" style="7" customWidth="1"/>
    <col min="1287" max="1291" width="13.54296875" style="7" customWidth="1"/>
    <col min="1292" max="1292" width="17.7265625" style="7" customWidth="1"/>
    <col min="1293" max="1293" width="13.54296875" style="7" customWidth="1"/>
    <col min="1294" max="1294" width="12.81640625" style="7" customWidth="1"/>
    <col min="1295" max="1295" width="11.453125" style="7" customWidth="1"/>
    <col min="1296" max="1296" width="14" style="7" customWidth="1"/>
    <col min="1297" max="1297" width="11.1796875" style="7" customWidth="1"/>
    <col min="1298" max="1299" width="12.81640625" style="7" customWidth="1"/>
    <col min="1300" max="1300" width="18.453125" style="7" customWidth="1"/>
    <col min="1301" max="1301" width="26" style="7" customWidth="1"/>
    <col min="1302" max="1302" width="19.1796875" style="7" customWidth="1"/>
    <col min="1303" max="1318" width="9.1796875" style="7" customWidth="1"/>
    <col min="1319" max="1537" width="8.81640625" style="7"/>
    <col min="1538" max="1538" width="5.7265625" style="7" customWidth="1"/>
    <col min="1539" max="1539" width="26.453125" style="7" customWidth="1"/>
    <col min="1540" max="1540" width="27.7265625" style="7" customWidth="1"/>
    <col min="1541" max="1541" width="23.7265625" style="7" customWidth="1"/>
    <col min="1542" max="1542" width="17.26953125" style="7" customWidth="1"/>
    <col min="1543" max="1547" width="13.54296875" style="7" customWidth="1"/>
    <col min="1548" max="1548" width="17.7265625" style="7" customWidth="1"/>
    <col min="1549" max="1549" width="13.54296875" style="7" customWidth="1"/>
    <col min="1550" max="1550" width="12.81640625" style="7" customWidth="1"/>
    <col min="1551" max="1551" width="11.453125" style="7" customWidth="1"/>
    <col min="1552" max="1552" width="14" style="7" customWidth="1"/>
    <col min="1553" max="1553" width="11.1796875" style="7" customWidth="1"/>
    <col min="1554" max="1555" width="12.81640625" style="7" customWidth="1"/>
    <col min="1556" max="1556" width="18.453125" style="7" customWidth="1"/>
    <col min="1557" max="1557" width="26" style="7" customWidth="1"/>
    <col min="1558" max="1558" width="19.1796875" style="7" customWidth="1"/>
    <col min="1559" max="1574" width="9.1796875" style="7" customWidth="1"/>
    <col min="1575" max="1793" width="8.81640625" style="7"/>
    <col min="1794" max="1794" width="5.7265625" style="7" customWidth="1"/>
    <col min="1795" max="1795" width="26.453125" style="7" customWidth="1"/>
    <col min="1796" max="1796" width="27.7265625" style="7" customWidth="1"/>
    <col min="1797" max="1797" width="23.7265625" style="7" customWidth="1"/>
    <col min="1798" max="1798" width="17.26953125" style="7" customWidth="1"/>
    <col min="1799" max="1803" width="13.54296875" style="7" customWidth="1"/>
    <col min="1804" max="1804" width="17.7265625" style="7" customWidth="1"/>
    <col min="1805" max="1805" width="13.54296875" style="7" customWidth="1"/>
    <col min="1806" max="1806" width="12.81640625" style="7" customWidth="1"/>
    <col min="1807" max="1807" width="11.453125" style="7" customWidth="1"/>
    <col min="1808" max="1808" width="14" style="7" customWidth="1"/>
    <col min="1809" max="1809" width="11.1796875" style="7" customWidth="1"/>
    <col min="1810" max="1811" width="12.81640625" style="7" customWidth="1"/>
    <col min="1812" max="1812" width="18.453125" style="7" customWidth="1"/>
    <col min="1813" max="1813" width="26" style="7" customWidth="1"/>
    <col min="1814" max="1814" width="19.1796875" style="7" customWidth="1"/>
    <col min="1815" max="1830" width="9.1796875" style="7" customWidth="1"/>
    <col min="1831" max="2049" width="8.81640625" style="7"/>
    <col min="2050" max="2050" width="5.7265625" style="7" customWidth="1"/>
    <col min="2051" max="2051" width="26.453125" style="7" customWidth="1"/>
    <col min="2052" max="2052" width="27.7265625" style="7" customWidth="1"/>
    <col min="2053" max="2053" width="23.7265625" style="7" customWidth="1"/>
    <col min="2054" max="2054" width="17.26953125" style="7" customWidth="1"/>
    <col min="2055" max="2059" width="13.54296875" style="7" customWidth="1"/>
    <col min="2060" max="2060" width="17.7265625" style="7" customWidth="1"/>
    <col min="2061" max="2061" width="13.54296875" style="7" customWidth="1"/>
    <col min="2062" max="2062" width="12.81640625" style="7" customWidth="1"/>
    <col min="2063" max="2063" width="11.453125" style="7" customWidth="1"/>
    <col min="2064" max="2064" width="14" style="7" customWidth="1"/>
    <col min="2065" max="2065" width="11.1796875" style="7" customWidth="1"/>
    <col min="2066" max="2067" width="12.81640625" style="7" customWidth="1"/>
    <col min="2068" max="2068" width="18.453125" style="7" customWidth="1"/>
    <col min="2069" max="2069" width="26" style="7" customWidth="1"/>
    <col min="2070" max="2070" width="19.1796875" style="7" customWidth="1"/>
    <col min="2071" max="2086" width="9.1796875" style="7" customWidth="1"/>
    <col min="2087" max="2305" width="8.81640625" style="7"/>
    <col min="2306" max="2306" width="5.7265625" style="7" customWidth="1"/>
    <col min="2307" max="2307" width="26.453125" style="7" customWidth="1"/>
    <col min="2308" max="2308" width="27.7265625" style="7" customWidth="1"/>
    <col min="2309" max="2309" width="23.7265625" style="7" customWidth="1"/>
    <col min="2310" max="2310" width="17.26953125" style="7" customWidth="1"/>
    <col min="2311" max="2315" width="13.54296875" style="7" customWidth="1"/>
    <col min="2316" max="2316" width="17.7265625" style="7" customWidth="1"/>
    <col min="2317" max="2317" width="13.54296875" style="7" customWidth="1"/>
    <col min="2318" max="2318" width="12.81640625" style="7" customWidth="1"/>
    <col min="2319" max="2319" width="11.453125" style="7" customWidth="1"/>
    <col min="2320" max="2320" width="14" style="7" customWidth="1"/>
    <col min="2321" max="2321" width="11.1796875" style="7" customWidth="1"/>
    <col min="2322" max="2323" width="12.81640625" style="7" customWidth="1"/>
    <col min="2324" max="2324" width="18.453125" style="7" customWidth="1"/>
    <col min="2325" max="2325" width="26" style="7" customWidth="1"/>
    <col min="2326" max="2326" width="19.1796875" style="7" customWidth="1"/>
    <col min="2327" max="2342" width="9.1796875" style="7" customWidth="1"/>
    <col min="2343" max="2561" width="8.81640625" style="7"/>
    <col min="2562" max="2562" width="5.7265625" style="7" customWidth="1"/>
    <col min="2563" max="2563" width="26.453125" style="7" customWidth="1"/>
    <col min="2564" max="2564" width="27.7265625" style="7" customWidth="1"/>
    <col min="2565" max="2565" width="23.7265625" style="7" customWidth="1"/>
    <col min="2566" max="2566" width="17.26953125" style="7" customWidth="1"/>
    <col min="2567" max="2571" width="13.54296875" style="7" customWidth="1"/>
    <col min="2572" max="2572" width="17.7265625" style="7" customWidth="1"/>
    <col min="2573" max="2573" width="13.54296875" style="7" customWidth="1"/>
    <col min="2574" max="2574" width="12.81640625" style="7" customWidth="1"/>
    <col min="2575" max="2575" width="11.453125" style="7" customWidth="1"/>
    <col min="2576" max="2576" width="14" style="7" customWidth="1"/>
    <col min="2577" max="2577" width="11.1796875" style="7" customWidth="1"/>
    <col min="2578" max="2579" width="12.81640625" style="7" customWidth="1"/>
    <col min="2580" max="2580" width="18.453125" style="7" customWidth="1"/>
    <col min="2581" max="2581" width="26" style="7" customWidth="1"/>
    <col min="2582" max="2582" width="19.1796875" style="7" customWidth="1"/>
    <col min="2583" max="2598" width="9.1796875" style="7" customWidth="1"/>
    <col min="2599" max="2817" width="8.81640625" style="7"/>
    <col min="2818" max="2818" width="5.7265625" style="7" customWidth="1"/>
    <col min="2819" max="2819" width="26.453125" style="7" customWidth="1"/>
    <col min="2820" max="2820" width="27.7265625" style="7" customWidth="1"/>
    <col min="2821" max="2821" width="23.7265625" style="7" customWidth="1"/>
    <col min="2822" max="2822" width="17.26953125" style="7" customWidth="1"/>
    <col min="2823" max="2827" width="13.54296875" style="7" customWidth="1"/>
    <col min="2828" max="2828" width="17.7265625" style="7" customWidth="1"/>
    <col min="2829" max="2829" width="13.54296875" style="7" customWidth="1"/>
    <col min="2830" max="2830" width="12.81640625" style="7" customWidth="1"/>
    <col min="2831" max="2831" width="11.453125" style="7" customWidth="1"/>
    <col min="2832" max="2832" width="14" style="7" customWidth="1"/>
    <col min="2833" max="2833" width="11.1796875" style="7" customWidth="1"/>
    <col min="2834" max="2835" width="12.81640625" style="7" customWidth="1"/>
    <col min="2836" max="2836" width="18.453125" style="7" customWidth="1"/>
    <col min="2837" max="2837" width="26" style="7" customWidth="1"/>
    <col min="2838" max="2838" width="19.1796875" style="7" customWidth="1"/>
    <col min="2839" max="2854" width="9.1796875" style="7" customWidth="1"/>
    <col min="2855" max="3073" width="8.81640625" style="7"/>
    <col min="3074" max="3074" width="5.7265625" style="7" customWidth="1"/>
    <col min="3075" max="3075" width="26.453125" style="7" customWidth="1"/>
    <col min="3076" max="3076" width="27.7265625" style="7" customWidth="1"/>
    <col min="3077" max="3077" width="23.7265625" style="7" customWidth="1"/>
    <col min="3078" max="3078" width="17.26953125" style="7" customWidth="1"/>
    <col min="3079" max="3083" width="13.54296875" style="7" customWidth="1"/>
    <col min="3084" max="3084" width="17.7265625" style="7" customWidth="1"/>
    <col min="3085" max="3085" width="13.54296875" style="7" customWidth="1"/>
    <col min="3086" max="3086" width="12.81640625" style="7" customWidth="1"/>
    <col min="3087" max="3087" width="11.453125" style="7" customWidth="1"/>
    <col min="3088" max="3088" width="14" style="7" customWidth="1"/>
    <col min="3089" max="3089" width="11.1796875" style="7" customWidth="1"/>
    <col min="3090" max="3091" width="12.81640625" style="7" customWidth="1"/>
    <col min="3092" max="3092" width="18.453125" style="7" customWidth="1"/>
    <col min="3093" max="3093" width="26" style="7" customWidth="1"/>
    <col min="3094" max="3094" width="19.1796875" style="7" customWidth="1"/>
    <col min="3095" max="3110" width="9.1796875" style="7" customWidth="1"/>
    <col min="3111" max="3329" width="8.81640625" style="7"/>
    <col min="3330" max="3330" width="5.7265625" style="7" customWidth="1"/>
    <col min="3331" max="3331" width="26.453125" style="7" customWidth="1"/>
    <col min="3332" max="3332" width="27.7265625" style="7" customWidth="1"/>
    <col min="3333" max="3333" width="23.7265625" style="7" customWidth="1"/>
    <col min="3334" max="3334" width="17.26953125" style="7" customWidth="1"/>
    <col min="3335" max="3339" width="13.54296875" style="7" customWidth="1"/>
    <col min="3340" max="3340" width="17.7265625" style="7" customWidth="1"/>
    <col min="3341" max="3341" width="13.54296875" style="7" customWidth="1"/>
    <col min="3342" max="3342" width="12.81640625" style="7" customWidth="1"/>
    <col min="3343" max="3343" width="11.453125" style="7" customWidth="1"/>
    <col min="3344" max="3344" width="14" style="7" customWidth="1"/>
    <col min="3345" max="3345" width="11.1796875" style="7" customWidth="1"/>
    <col min="3346" max="3347" width="12.81640625" style="7" customWidth="1"/>
    <col min="3348" max="3348" width="18.453125" style="7" customWidth="1"/>
    <col min="3349" max="3349" width="26" style="7" customWidth="1"/>
    <col min="3350" max="3350" width="19.1796875" style="7" customWidth="1"/>
    <col min="3351" max="3366" width="9.1796875" style="7" customWidth="1"/>
    <col min="3367" max="3585" width="8.81640625" style="7"/>
    <col min="3586" max="3586" width="5.7265625" style="7" customWidth="1"/>
    <col min="3587" max="3587" width="26.453125" style="7" customWidth="1"/>
    <col min="3588" max="3588" width="27.7265625" style="7" customWidth="1"/>
    <col min="3589" max="3589" width="23.7265625" style="7" customWidth="1"/>
    <col min="3590" max="3590" width="17.26953125" style="7" customWidth="1"/>
    <col min="3591" max="3595" width="13.54296875" style="7" customWidth="1"/>
    <col min="3596" max="3596" width="17.7265625" style="7" customWidth="1"/>
    <col min="3597" max="3597" width="13.54296875" style="7" customWidth="1"/>
    <col min="3598" max="3598" width="12.81640625" style="7" customWidth="1"/>
    <col min="3599" max="3599" width="11.453125" style="7" customWidth="1"/>
    <col min="3600" max="3600" width="14" style="7" customWidth="1"/>
    <col min="3601" max="3601" width="11.1796875" style="7" customWidth="1"/>
    <col min="3602" max="3603" width="12.81640625" style="7" customWidth="1"/>
    <col min="3604" max="3604" width="18.453125" style="7" customWidth="1"/>
    <col min="3605" max="3605" width="26" style="7" customWidth="1"/>
    <col min="3606" max="3606" width="19.1796875" style="7" customWidth="1"/>
    <col min="3607" max="3622" width="9.1796875" style="7" customWidth="1"/>
    <col min="3623" max="3841" width="8.81640625" style="7"/>
    <col min="3842" max="3842" width="5.7265625" style="7" customWidth="1"/>
    <col min="3843" max="3843" width="26.453125" style="7" customWidth="1"/>
    <col min="3844" max="3844" width="27.7265625" style="7" customWidth="1"/>
    <col min="3845" max="3845" width="23.7265625" style="7" customWidth="1"/>
    <col min="3846" max="3846" width="17.26953125" style="7" customWidth="1"/>
    <col min="3847" max="3851" width="13.54296875" style="7" customWidth="1"/>
    <col min="3852" max="3852" width="17.7265625" style="7" customWidth="1"/>
    <col min="3853" max="3853" width="13.54296875" style="7" customWidth="1"/>
    <col min="3854" max="3854" width="12.81640625" style="7" customWidth="1"/>
    <col min="3855" max="3855" width="11.453125" style="7" customWidth="1"/>
    <col min="3856" max="3856" width="14" style="7" customWidth="1"/>
    <col min="3857" max="3857" width="11.1796875" style="7" customWidth="1"/>
    <col min="3858" max="3859" width="12.81640625" style="7" customWidth="1"/>
    <col min="3860" max="3860" width="18.453125" style="7" customWidth="1"/>
    <col min="3861" max="3861" width="26" style="7" customWidth="1"/>
    <col min="3862" max="3862" width="19.1796875" style="7" customWidth="1"/>
    <col min="3863" max="3878" width="9.1796875" style="7" customWidth="1"/>
    <col min="3879" max="4097" width="8.81640625" style="7"/>
    <col min="4098" max="4098" width="5.7265625" style="7" customWidth="1"/>
    <col min="4099" max="4099" width="26.453125" style="7" customWidth="1"/>
    <col min="4100" max="4100" width="27.7265625" style="7" customWidth="1"/>
    <col min="4101" max="4101" width="23.7265625" style="7" customWidth="1"/>
    <col min="4102" max="4102" width="17.26953125" style="7" customWidth="1"/>
    <col min="4103" max="4107" width="13.54296875" style="7" customWidth="1"/>
    <col min="4108" max="4108" width="17.7265625" style="7" customWidth="1"/>
    <col min="4109" max="4109" width="13.54296875" style="7" customWidth="1"/>
    <col min="4110" max="4110" width="12.81640625" style="7" customWidth="1"/>
    <col min="4111" max="4111" width="11.453125" style="7" customWidth="1"/>
    <col min="4112" max="4112" width="14" style="7" customWidth="1"/>
    <col min="4113" max="4113" width="11.1796875" style="7" customWidth="1"/>
    <col min="4114" max="4115" width="12.81640625" style="7" customWidth="1"/>
    <col min="4116" max="4116" width="18.453125" style="7" customWidth="1"/>
    <col min="4117" max="4117" width="26" style="7" customWidth="1"/>
    <col min="4118" max="4118" width="19.1796875" style="7" customWidth="1"/>
    <col min="4119" max="4134" width="9.1796875" style="7" customWidth="1"/>
    <col min="4135" max="4353" width="8.81640625" style="7"/>
    <col min="4354" max="4354" width="5.7265625" style="7" customWidth="1"/>
    <col min="4355" max="4355" width="26.453125" style="7" customWidth="1"/>
    <col min="4356" max="4356" width="27.7265625" style="7" customWidth="1"/>
    <col min="4357" max="4357" width="23.7265625" style="7" customWidth="1"/>
    <col min="4358" max="4358" width="17.26953125" style="7" customWidth="1"/>
    <col min="4359" max="4363" width="13.54296875" style="7" customWidth="1"/>
    <col min="4364" max="4364" width="17.7265625" style="7" customWidth="1"/>
    <col min="4365" max="4365" width="13.54296875" style="7" customWidth="1"/>
    <col min="4366" max="4366" width="12.81640625" style="7" customWidth="1"/>
    <col min="4367" max="4367" width="11.453125" style="7" customWidth="1"/>
    <col min="4368" max="4368" width="14" style="7" customWidth="1"/>
    <col min="4369" max="4369" width="11.1796875" style="7" customWidth="1"/>
    <col min="4370" max="4371" width="12.81640625" style="7" customWidth="1"/>
    <col min="4372" max="4372" width="18.453125" style="7" customWidth="1"/>
    <col min="4373" max="4373" width="26" style="7" customWidth="1"/>
    <col min="4374" max="4374" width="19.1796875" style="7" customWidth="1"/>
    <col min="4375" max="4390" width="9.1796875" style="7" customWidth="1"/>
    <col min="4391" max="4609" width="8.81640625" style="7"/>
    <col min="4610" max="4610" width="5.7265625" style="7" customWidth="1"/>
    <col min="4611" max="4611" width="26.453125" style="7" customWidth="1"/>
    <col min="4612" max="4612" width="27.7265625" style="7" customWidth="1"/>
    <col min="4613" max="4613" width="23.7265625" style="7" customWidth="1"/>
    <col min="4614" max="4614" width="17.26953125" style="7" customWidth="1"/>
    <col min="4615" max="4619" width="13.54296875" style="7" customWidth="1"/>
    <col min="4620" max="4620" width="17.7265625" style="7" customWidth="1"/>
    <col min="4621" max="4621" width="13.54296875" style="7" customWidth="1"/>
    <col min="4622" max="4622" width="12.81640625" style="7" customWidth="1"/>
    <col min="4623" max="4623" width="11.453125" style="7" customWidth="1"/>
    <col min="4624" max="4624" width="14" style="7" customWidth="1"/>
    <col min="4625" max="4625" width="11.1796875" style="7" customWidth="1"/>
    <col min="4626" max="4627" width="12.81640625" style="7" customWidth="1"/>
    <col min="4628" max="4628" width="18.453125" style="7" customWidth="1"/>
    <col min="4629" max="4629" width="26" style="7" customWidth="1"/>
    <col min="4630" max="4630" width="19.1796875" style="7" customWidth="1"/>
    <col min="4631" max="4646" width="9.1796875" style="7" customWidth="1"/>
    <col min="4647" max="4865" width="8.81640625" style="7"/>
    <col min="4866" max="4866" width="5.7265625" style="7" customWidth="1"/>
    <col min="4867" max="4867" width="26.453125" style="7" customWidth="1"/>
    <col min="4868" max="4868" width="27.7265625" style="7" customWidth="1"/>
    <col min="4869" max="4869" width="23.7265625" style="7" customWidth="1"/>
    <col min="4870" max="4870" width="17.26953125" style="7" customWidth="1"/>
    <col min="4871" max="4875" width="13.54296875" style="7" customWidth="1"/>
    <col min="4876" max="4876" width="17.7265625" style="7" customWidth="1"/>
    <col min="4877" max="4877" width="13.54296875" style="7" customWidth="1"/>
    <col min="4878" max="4878" width="12.81640625" style="7" customWidth="1"/>
    <col min="4879" max="4879" width="11.453125" style="7" customWidth="1"/>
    <col min="4880" max="4880" width="14" style="7" customWidth="1"/>
    <col min="4881" max="4881" width="11.1796875" style="7" customWidth="1"/>
    <col min="4882" max="4883" width="12.81640625" style="7" customWidth="1"/>
    <col min="4884" max="4884" width="18.453125" style="7" customWidth="1"/>
    <col min="4885" max="4885" width="26" style="7" customWidth="1"/>
    <col min="4886" max="4886" width="19.1796875" style="7" customWidth="1"/>
    <col min="4887" max="4902" width="9.1796875" style="7" customWidth="1"/>
    <col min="4903" max="5121" width="8.81640625" style="7"/>
    <col min="5122" max="5122" width="5.7265625" style="7" customWidth="1"/>
    <col min="5123" max="5123" width="26.453125" style="7" customWidth="1"/>
    <col min="5124" max="5124" width="27.7265625" style="7" customWidth="1"/>
    <col min="5125" max="5125" width="23.7265625" style="7" customWidth="1"/>
    <col min="5126" max="5126" width="17.26953125" style="7" customWidth="1"/>
    <col min="5127" max="5131" width="13.54296875" style="7" customWidth="1"/>
    <col min="5132" max="5132" width="17.7265625" style="7" customWidth="1"/>
    <col min="5133" max="5133" width="13.54296875" style="7" customWidth="1"/>
    <col min="5134" max="5134" width="12.81640625" style="7" customWidth="1"/>
    <col min="5135" max="5135" width="11.453125" style="7" customWidth="1"/>
    <col min="5136" max="5136" width="14" style="7" customWidth="1"/>
    <col min="5137" max="5137" width="11.1796875" style="7" customWidth="1"/>
    <col min="5138" max="5139" width="12.81640625" style="7" customWidth="1"/>
    <col min="5140" max="5140" width="18.453125" style="7" customWidth="1"/>
    <col min="5141" max="5141" width="26" style="7" customWidth="1"/>
    <col min="5142" max="5142" width="19.1796875" style="7" customWidth="1"/>
    <col min="5143" max="5158" width="9.1796875" style="7" customWidth="1"/>
    <col min="5159" max="5377" width="8.81640625" style="7"/>
    <col min="5378" max="5378" width="5.7265625" style="7" customWidth="1"/>
    <col min="5379" max="5379" width="26.453125" style="7" customWidth="1"/>
    <col min="5380" max="5380" width="27.7265625" style="7" customWidth="1"/>
    <col min="5381" max="5381" width="23.7265625" style="7" customWidth="1"/>
    <col min="5382" max="5382" width="17.26953125" style="7" customWidth="1"/>
    <col min="5383" max="5387" width="13.54296875" style="7" customWidth="1"/>
    <col min="5388" max="5388" width="17.7265625" style="7" customWidth="1"/>
    <col min="5389" max="5389" width="13.54296875" style="7" customWidth="1"/>
    <col min="5390" max="5390" width="12.81640625" style="7" customWidth="1"/>
    <col min="5391" max="5391" width="11.453125" style="7" customWidth="1"/>
    <col min="5392" max="5392" width="14" style="7" customWidth="1"/>
    <col min="5393" max="5393" width="11.1796875" style="7" customWidth="1"/>
    <col min="5394" max="5395" width="12.81640625" style="7" customWidth="1"/>
    <col min="5396" max="5396" width="18.453125" style="7" customWidth="1"/>
    <col min="5397" max="5397" width="26" style="7" customWidth="1"/>
    <col min="5398" max="5398" width="19.1796875" style="7" customWidth="1"/>
    <col min="5399" max="5414" width="9.1796875" style="7" customWidth="1"/>
    <col min="5415" max="5633" width="8.81640625" style="7"/>
    <col min="5634" max="5634" width="5.7265625" style="7" customWidth="1"/>
    <col min="5635" max="5635" width="26.453125" style="7" customWidth="1"/>
    <col min="5636" max="5636" width="27.7265625" style="7" customWidth="1"/>
    <col min="5637" max="5637" width="23.7265625" style="7" customWidth="1"/>
    <col min="5638" max="5638" width="17.26953125" style="7" customWidth="1"/>
    <col min="5639" max="5643" width="13.54296875" style="7" customWidth="1"/>
    <col min="5644" max="5644" width="17.7265625" style="7" customWidth="1"/>
    <col min="5645" max="5645" width="13.54296875" style="7" customWidth="1"/>
    <col min="5646" max="5646" width="12.81640625" style="7" customWidth="1"/>
    <col min="5647" max="5647" width="11.453125" style="7" customWidth="1"/>
    <col min="5648" max="5648" width="14" style="7" customWidth="1"/>
    <col min="5649" max="5649" width="11.1796875" style="7" customWidth="1"/>
    <col min="5650" max="5651" width="12.81640625" style="7" customWidth="1"/>
    <col min="5652" max="5652" width="18.453125" style="7" customWidth="1"/>
    <col min="5653" max="5653" width="26" style="7" customWidth="1"/>
    <col min="5654" max="5654" width="19.1796875" style="7" customWidth="1"/>
    <col min="5655" max="5670" width="9.1796875" style="7" customWidth="1"/>
    <col min="5671" max="5889" width="8.81640625" style="7"/>
    <col min="5890" max="5890" width="5.7265625" style="7" customWidth="1"/>
    <col min="5891" max="5891" width="26.453125" style="7" customWidth="1"/>
    <col min="5892" max="5892" width="27.7265625" style="7" customWidth="1"/>
    <col min="5893" max="5893" width="23.7265625" style="7" customWidth="1"/>
    <col min="5894" max="5894" width="17.26953125" style="7" customWidth="1"/>
    <col min="5895" max="5899" width="13.54296875" style="7" customWidth="1"/>
    <col min="5900" max="5900" width="17.7265625" style="7" customWidth="1"/>
    <col min="5901" max="5901" width="13.54296875" style="7" customWidth="1"/>
    <col min="5902" max="5902" width="12.81640625" style="7" customWidth="1"/>
    <col min="5903" max="5903" width="11.453125" style="7" customWidth="1"/>
    <col min="5904" max="5904" width="14" style="7" customWidth="1"/>
    <col min="5905" max="5905" width="11.1796875" style="7" customWidth="1"/>
    <col min="5906" max="5907" width="12.81640625" style="7" customWidth="1"/>
    <col min="5908" max="5908" width="18.453125" style="7" customWidth="1"/>
    <col min="5909" max="5909" width="26" style="7" customWidth="1"/>
    <col min="5910" max="5910" width="19.1796875" style="7" customWidth="1"/>
    <col min="5911" max="5926" width="9.1796875" style="7" customWidth="1"/>
    <col min="5927" max="6145" width="8.81640625" style="7"/>
    <col min="6146" max="6146" width="5.7265625" style="7" customWidth="1"/>
    <col min="6147" max="6147" width="26.453125" style="7" customWidth="1"/>
    <col min="6148" max="6148" width="27.7265625" style="7" customWidth="1"/>
    <col min="6149" max="6149" width="23.7265625" style="7" customWidth="1"/>
    <col min="6150" max="6150" width="17.26953125" style="7" customWidth="1"/>
    <col min="6151" max="6155" width="13.54296875" style="7" customWidth="1"/>
    <col min="6156" max="6156" width="17.7265625" style="7" customWidth="1"/>
    <col min="6157" max="6157" width="13.54296875" style="7" customWidth="1"/>
    <col min="6158" max="6158" width="12.81640625" style="7" customWidth="1"/>
    <col min="6159" max="6159" width="11.453125" style="7" customWidth="1"/>
    <col min="6160" max="6160" width="14" style="7" customWidth="1"/>
    <col min="6161" max="6161" width="11.1796875" style="7" customWidth="1"/>
    <col min="6162" max="6163" width="12.81640625" style="7" customWidth="1"/>
    <col min="6164" max="6164" width="18.453125" style="7" customWidth="1"/>
    <col min="6165" max="6165" width="26" style="7" customWidth="1"/>
    <col min="6166" max="6166" width="19.1796875" style="7" customWidth="1"/>
    <col min="6167" max="6182" width="9.1796875" style="7" customWidth="1"/>
    <col min="6183" max="6401" width="8.81640625" style="7"/>
    <col min="6402" max="6402" width="5.7265625" style="7" customWidth="1"/>
    <col min="6403" max="6403" width="26.453125" style="7" customWidth="1"/>
    <col min="6404" max="6404" width="27.7265625" style="7" customWidth="1"/>
    <col min="6405" max="6405" width="23.7265625" style="7" customWidth="1"/>
    <col min="6406" max="6406" width="17.26953125" style="7" customWidth="1"/>
    <col min="6407" max="6411" width="13.54296875" style="7" customWidth="1"/>
    <col min="6412" max="6412" width="17.7265625" style="7" customWidth="1"/>
    <col min="6413" max="6413" width="13.54296875" style="7" customWidth="1"/>
    <col min="6414" max="6414" width="12.81640625" style="7" customWidth="1"/>
    <col min="6415" max="6415" width="11.453125" style="7" customWidth="1"/>
    <col min="6416" max="6416" width="14" style="7" customWidth="1"/>
    <col min="6417" max="6417" width="11.1796875" style="7" customWidth="1"/>
    <col min="6418" max="6419" width="12.81640625" style="7" customWidth="1"/>
    <col min="6420" max="6420" width="18.453125" style="7" customWidth="1"/>
    <col min="6421" max="6421" width="26" style="7" customWidth="1"/>
    <col min="6422" max="6422" width="19.1796875" style="7" customWidth="1"/>
    <col min="6423" max="6438" width="9.1796875" style="7" customWidth="1"/>
    <col min="6439" max="6657" width="8.81640625" style="7"/>
    <col min="6658" max="6658" width="5.7265625" style="7" customWidth="1"/>
    <col min="6659" max="6659" width="26.453125" style="7" customWidth="1"/>
    <col min="6660" max="6660" width="27.7265625" style="7" customWidth="1"/>
    <col min="6661" max="6661" width="23.7265625" style="7" customWidth="1"/>
    <col min="6662" max="6662" width="17.26953125" style="7" customWidth="1"/>
    <col min="6663" max="6667" width="13.54296875" style="7" customWidth="1"/>
    <col min="6668" max="6668" width="17.7265625" style="7" customWidth="1"/>
    <col min="6669" max="6669" width="13.54296875" style="7" customWidth="1"/>
    <col min="6670" max="6670" width="12.81640625" style="7" customWidth="1"/>
    <col min="6671" max="6671" width="11.453125" style="7" customWidth="1"/>
    <col min="6672" max="6672" width="14" style="7" customWidth="1"/>
    <col min="6673" max="6673" width="11.1796875" style="7" customWidth="1"/>
    <col min="6674" max="6675" width="12.81640625" style="7" customWidth="1"/>
    <col min="6676" max="6676" width="18.453125" style="7" customWidth="1"/>
    <col min="6677" max="6677" width="26" style="7" customWidth="1"/>
    <col min="6678" max="6678" width="19.1796875" style="7" customWidth="1"/>
    <col min="6679" max="6694" width="9.1796875" style="7" customWidth="1"/>
    <col min="6695" max="6913" width="8.81640625" style="7"/>
    <col min="6914" max="6914" width="5.7265625" style="7" customWidth="1"/>
    <col min="6915" max="6915" width="26.453125" style="7" customWidth="1"/>
    <col min="6916" max="6916" width="27.7265625" style="7" customWidth="1"/>
    <col min="6917" max="6917" width="23.7265625" style="7" customWidth="1"/>
    <col min="6918" max="6918" width="17.26953125" style="7" customWidth="1"/>
    <col min="6919" max="6923" width="13.54296875" style="7" customWidth="1"/>
    <col min="6924" max="6924" width="17.7265625" style="7" customWidth="1"/>
    <col min="6925" max="6925" width="13.54296875" style="7" customWidth="1"/>
    <col min="6926" max="6926" width="12.81640625" style="7" customWidth="1"/>
    <col min="6927" max="6927" width="11.453125" style="7" customWidth="1"/>
    <col min="6928" max="6928" width="14" style="7" customWidth="1"/>
    <col min="6929" max="6929" width="11.1796875" style="7" customWidth="1"/>
    <col min="6930" max="6931" width="12.81640625" style="7" customWidth="1"/>
    <col min="6932" max="6932" width="18.453125" style="7" customWidth="1"/>
    <col min="6933" max="6933" width="26" style="7" customWidth="1"/>
    <col min="6934" max="6934" width="19.1796875" style="7" customWidth="1"/>
    <col min="6935" max="6950" width="9.1796875" style="7" customWidth="1"/>
    <col min="6951" max="7169" width="8.81640625" style="7"/>
    <col min="7170" max="7170" width="5.7265625" style="7" customWidth="1"/>
    <col min="7171" max="7171" width="26.453125" style="7" customWidth="1"/>
    <col min="7172" max="7172" width="27.7265625" style="7" customWidth="1"/>
    <col min="7173" max="7173" width="23.7265625" style="7" customWidth="1"/>
    <col min="7174" max="7174" width="17.26953125" style="7" customWidth="1"/>
    <col min="7175" max="7179" width="13.54296875" style="7" customWidth="1"/>
    <col min="7180" max="7180" width="17.7265625" style="7" customWidth="1"/>
    <col min="7181" max="7181" width="13.54296875" style="7" customWidth="1"/>
    <col min="7182" max="7182" width="12.81640625" style="7" customWidth="1"/>
    <col min="7183" max="7183" width="11.453125" style="7" customWidth="1"/>
    <col min="7184" max="7184" width="14" style="7" customWidth="1"/>
    <col min="7185" max="7185" width="11.1796875" style="7" customWidth="1"/>
    <col min="7186" max="7187" width="12.81640625" style="7" customWidth="1"/>
    <col min="7188" max="7188" width="18.453125" style="7" customWidth="1"/>
    <col min="7189" max="7189" width="26" style="7" customWidth="1"/>
    <col min="7190" max="7190" width="19.1796875" style="7" customWidth="1"/>
    <col min="7191" max="7206" width="9.1796875" style="7" customWidth="1"/>
    <col min="7207" max="7425" width="8.81640625" style="7"/>
    <col min="7426" max="7426" width="5.7265625" style="7" customWidth="1"/>
    <col min="7427" max="7427" width="26.453125" style="7" customWidth="1"/>
    <col min="7428" max="7428" width="27.7265625" style="7" customWidth="1"/>
    <col min="7429" max="7429" width="23.7265625" style="7" customWidth="1"/>
    <col min="7430" max="7430" width="17.26953125" style="7" customWidth="1"/>
    <col min="7431" max="7435" width="13.54296875" style="7" customWidth="1"/>
    <col min="7436" max="7436" width="17.7265625" style="7" customWidth="1"/>
    <col min="7437" max="7437" width="13.54296875" style="7" customWidth="1"/>
    <col min="7438" max="7438" width="12.81640625" style="7" customWidth="1"/>
    <col min="7439" max="7439" width="11.453125" style="7" customWidth="1"/>
    <col min="7440" max="7440" width="14" style="7" customWidth="1"/>
    <col min="7441" max="7441" width="11.1796875" style="7" customWidth="1"/>
    <col min="7442" max="7443" width="12.81640625" style="7" customWidth="1"/>
    <col min="7444" max="7444" width="18.453125" style="7" customWidth="1"/>
    <col min="7445" max="7445" width="26" style="7" customWidth="1"/>
    <col min="7446" max="7446" width="19.1796875" style="7" customWidth="1"/>
    <col min="7447" max="7462" width="9.1796875" style="7" customWidth="1"/>
    <col min="7463" max="7681" width="8.81640625" style="7"/>
    <col min="7682" max="7682" width="5.7265625" style="7" customWidth="1"/>
    <col min="7683" max="7683" width="26.453125" style="7" customWidth="1"/>
    <col min="7684" max="7684" width="27.7265625" style="7" customWidth="1"/>
    <col min="7685" max="7685" width="23.7265625" style="7" customWidth="1"/>
    <col min="7686" max="7686" width="17.26953125" style="7" customWidth="1"/>
    <col min="7687" max="7691" width="13.54296875" style="7" customWidth="1"/>
    <col min="7692" max="7692" width="17.7265625" style="7" customWidth="1"/>
    <col min="7693" max="7693" width="13.54296875" style="7" customWidth="1"/>
    <col min="7694" max="7694" width="12.81640625" style="7" customWidth="1"/>
    <col min="7695" max="7695" width="11.453125" style="7" customWidth="1"/>
    <col min="7696" max="7696" width="14" style="7" customWidth="1"/>
    <col min="7697" max="7697" width="11.1796875" style="7" customWidth="1"/>
    <col min="7698" max="7699" width="12.81640625" style="7" customWidth="1"/>
    <col min="7700" max="7700" width="18.453125" style="7" customWidth="1"/>
    <col min="7701" max="7701" width="26" style="7" customWidth="1"/>
    <col min="7702" max="7702" width="19.1796875" style="7" customWidth="1"/>
    <col min="7703" max="7718" width="9.1796875" style="7" customWidth="1"/>
    <col min="7719" max="7937" width="8.81640625" style="7"/>
    <col min="7938" max="7938" width="5.7265625" style="7" customWidth="1"/>
    <col min="7939" max="7939" width="26.453125" style="7" customWidth="1"/>
    <col min="7940" max="7940" width="27.7265625" style="7" customWidth="1"/>
    <col min="7941" max="7941" width="23.7265625" style="7" customWidth="1"/>
    <col min="7942" max="7942" width="17.26953125" style="7" customWidth="1"/>
    <col min="7943" max="7947" width="13.54296875" style="7" customWidth="1"/>
    <col min="7948" max="7948" width="17.7265625" style="7" customWidth="1"/>
    <col min="7949" max="7949" width="13.54296875" style="7" customWidth="1"/>
    <col min="7950" max="7950" width="12.81640625" style="7" customWidth="1"/>
    <col min="7951" max="7951" width="11.453125" style="7" customWidth="1"/>
    <col min="7952" max="7952" width="14" style="7" customWidth="1"/>
    <col min="7953" max="7953" width="11.1796875" style="7" customWidth="1"/>
    <col min="7954" max="7955" width="12.81640625" style="7" customWidth="1"/>
    <col min="7956" max="7956" width="18.453125" style="7" customWidth="1"/>
    <col min="7957" max="7957" width="26" style="7" customWidth="1"/>
    <col min="7958" max="7958" width="19.1796875" style="7" customWidth="1"/>
    <col min="7959" max="7974" width="9.1796875" style="7" customWidth="1"/>
    <col min="7975" max="8193" width="8.81640625" style="7"/>
    <col min="8194" max="8194" width="5.7265625" style="7" customWidth="1"/>
    <col min="8195" max="8195" width="26.453125" style="7" customWidth="1"/>
    <col min="8196" max="8196" width="27.7265625" style="7" customWidth="1"/>
    <col min="8197" max="8197" width="23.7265625" style="7" customWidth="1"/>
    <col min="8198" max="8198" width="17.26953125" style="7" customWidth="1"/>
    <col min="8199" max="8203" width="13.54296875" style="7" customWidth="1"/>
    <col min="8204" max="8204" width="17.7265625" style="7" customWidth="1"/>
    <col min="8205" max="8205" width="13.54296875" style="7" customWidth="1"/>
    <col min="8206" max="8206" width="12.81640625" style="7" customWidth="1"/>
    <col min="8207" max="8207" width="11.453125" style="7" customWidth="1"/>
    <col min="8208" max="8208" width="14" style="7" customWidth="1"/>
    <col min="8209" max="8209" width="11.1796875" style="7" customWidth="1"/>
    <col min="8210" max="8211" width="12.81640625" style="7" customWidth="1"/>
    <col min="8212" max="8212" width="18.453125" style="7" customWidth="1"/>
    <col min="8213" max="8213" width="26" style="7" customWidth="1"/>
    <col min="8214" max="8214" width="19.1796875" style="7" customWidth="1"/>
    <col min="8215" max="8230" width="9.1796875" style="7" customWidth="1"/>
    <col min="8231" max="8449" width="8.81640625" style="7"/>
    <col min="8450" max="8450" width="5.7265625" style="7" customWidth="1"/>
    <col min="8451" max="8451" width="26.453125" style="7" customWidth="1"/>
    <col min="8452" max="8452" width="27.7265625" style="7" customWidth="1"/>
    <col min="8453" max="8453" width="23.7265625" style="7" customWidth="1"/>
    <col min="8454" max="8454" width="17.26953125" style="7" customWidth="1"/>
    <col min="8455" max="8459" width="13.54296875" style="7" customWidth="1"/>
    <col min="8460" max="8460" width="17.7265625" style="7" customWidth="1"/>
    <col min="8461" max="8461" width="13.54296875" style="7" customWidth="1"/>
    <col min="8462" max="8462" width="12.81640625" style="7" customWidth="1"/>
    <col min="8463" max="8463" width="11.453125" style="7" customWidth="1"/>
    <col min="8464" max="8464" width="14" style="7" customWidth="1"/>
    <col min="8465" max="8465" width="11.1796875" style="7" customWidth="1"/>
    <col min="8466" max="8467" width="12.81640625" style="7" customWidth="1"/>
    <col min="8468" max="8468" width="18.453125" style="7" customWidth="1"/>
    <col min="8469" max="8469" width="26" style="7" customWidth="1"/>
    <col min="8470" max="8470" width="19.1796875" style="7" customWidth="1"/>
    <col min="8471" max="8486" width="9.1796875" style="7" customWidth="1"/>
    <col min="8487" max="8705" width="8.81640625" style="7"/>
    <col min="8706" max="8706" width="5.7265625" style="7" customWidth="1"/>
    <col min="8707" max="8707" width="26.453125" style="7" customWidth="1"/>
    <col min="8708" max="8708" width="27.7265625" style="7" customWidth="1"/>
    <col min="8709" max="8709" width="23.7265625" style="7" customWidth="1"/>
    <col min="8710" max="8710" width="17.26953125" style="7" customWidth="1"/>
    <col min="8711" max="8715" width="13.54296875" style="7" customWidth="1"/>
    <col min="8716" max="8716" width="17.7265625" style="7" customWidth="1"/>
    <col min="8717" max="8717" width="13.54296875" style="7" customWidth="1"/>
    <col min="8718" max="8718" width="12.81640625" style="7" customWidth="1"/>
    <col min="8719" max="8719" width="11.453125" style="7" customWidth="1"/>
    <col min="8720" max="8720" width="14" style="7" customWidth="1"/>
    <col min="8721" max="8721" width="11.1796875" style="7" customWidth="1"/>
    <col min="8722" max="8723" width="12.81640625" style="7" customWidth="1"/>
    <col min="8724" max="8724" width="18.453125" style="7" customWidth="1"/>
    <col min="8725" max="8725" width="26" style="7" customWidth="1"/>
    <col min="8726" max="8726" width="19.1796875" style="7" customWidth="1"/>
    <col min="8727" max="8742" width="9.1796875" style="7" customWidth="1"/>
    <col min="8743" max="8961" width="8.81640625" style="7"/>
    <col min="8962" max="8962" width="5.7265625" style="7" customWidth="1"/>
    <col min="8963" max="8963" width="26.453125" style="7" customWidth="1"/>
    <col min="8964" max="8964" width="27.7265625" style="7" customWidth="1"/>
    <col min="8965" max="8965" width="23.7265625" style="7" customWidth="1"/>
    <col min="8966" max="8966" width="17.26953125" style="7" customWidth="1"/>
    <col min="8967" max="8971" width="13.54296875" style="7" customWidth="1"/>
    <col min="8972" max="8972" width="17.7265625" style="7" customWidth="1"/>
    <col min="8973" max="8973" width="13.54296875" style="7" customWidth="1"/>
    <col min="8974" max="8974" width="12.81640625" style="7" customWidth="1"/>
    <col min="8975" max="8975" width="11.453125" style="7" customWidth="1"/>
    <col min="8976" max="8976" width="14" style="7" customWidth="1"/>
    <col min="8977" max="8977" width="11.1796875" style="7" customWidth="1"/>
    <col min="8978" max="8979" width="12.81640625" style="7" customWidth="1"/>
    <col min="8980" max="8980" width="18.453125" style="7" customWidth="1"/>
    <col min="8981" max="8981" width="26" style="7" customWidth="1"/>
    <col min="8982" max="8982" width="19.1796875" style="7" customWidth="1"/>
    <col min="8983" max="8998" width="9.1796875" style="7" customWidth="1"/>
    <col min="8999" max="9217" width="8.81640625" style="7"/>
    <col min="9218" max="9218" width="5.7265625" style="7" customWidth="1"/>
    <col min="9219" max="9219" width="26.453125" style="7" customWidth="1"/>
    <col min="9220" max="9220" width="27.7265625" style="7" customWidth="1"/>
    <col min="9221" max="9221" width="23.7265625" style="7" customWidth="1"/>
    <col min="9222" max="9222" width="17.26953125" style="7" customWidth="1"/>
    <col min="9223" max="9227" width="13.54296875" style="7" customWidth="1"/>
    <col min="9228" max="9228" width="17.7265625" style="7" customWidth="1"/>
    <col min="9229" max="9229" width="13.54296875" style="7" customWidth="1"/>
    <col min="9230" max="9230" width="12.81640625" style="7" customWidth="1"/>
    <col min="9231" max="9231" width="11.453125" style="7" customWidth="1"/>
    <col min="9232" max="9232" width="14" style="7" customWidth="1"/>
    <col min="9233" max="9233" width="11.1796875" style="7" customWidth="1"/>
    <col min="9234" max="9235" width="12.81640625" style="7" customWidth="1"/>
    <col min="9236" max="9236" width="18.453125" style="7" customWidth="1"/>
    <col min="9237" max="9237" width="26" style="7" customWidth="1"/>
    <col min="9238" max="9238" width="19.1796875" style="7" customWidth="1"/>
    <col min="9239" max="9254" width="9.1796875" style="7" customWidth="1"/>
    <col min="9255" max="9473" width="8.81640625" style="7"/>
    <col min="9474" max="9474" width="5.7265625" style="7" customWidth="1"/>
    <col min="9475" max="9475" width="26.453125" style="7" customWidth="1"/>
    <col min="9476" max="9476" width="27.7265625" style="7" customWidth="1"/>
    <col min="9477" max="9477" width="23.7265625" style="7" customWidth="1"/>
    <col min="9478" max="9478" width="17.26953125" style="7" customWidth="1"/>
    <col min="9479" max="9483" width="13.54296875" style="7" customWidth="1"/>
    <col min="9484" max="9484" width="17.7265625" style="7" customWidth="1"/>
    <col min="9485" max="9485" width="13.54296875" style="7" customWidth="1"/>
    <col min="9486" max="9486" width="12.81640625" style="7" customWidth="1"/>
    <col min="9487" max="9487" width="11.453125" style="7" customWidth="1"/>
    <col min="9488" max="9488" width="14" style="7" customWidth="1"/>
    <col min="9489" max="9489" width="11.1796875" style="7" customWidth="1"/>
    <col min="9490" max="9491" width="12.81640625" style="7" customWidth="1"/>
    <col min="9492" max="9492" width="18.453125" style="7" customWidth="1"/>
    <col min="9493" max="9493" width="26" style="7" customWidth="1"/>
    <col min="9494" max="9494" width="19.1796875" style="7" customWidth="1"/>
    <col min="9495" max="9510" width="9.1796875" style="7" customWidth="1"/>
    <col min="9511" max="9729" width="8.81640625" style="7"/>
    <col min="9730" max="9730" width="5.7265625" style="7" customWidth="1"/>
    <col min="9731" max="9731" width="26.453125" style="7" customWidth="1"/>
    <col min="9732" max="9732" width="27.7265625" style="7" customWidth="1"/>
    <col min="9733" max="9733" width="23.7265625" style="7" customWidth="1"/>
    <col min="9734" max="9734" width="17.26953125" style="7" customWidth="1"/>
    <col min="9735" max="9739" width="13.54296875" style="7" customWidth="1"/>
    <col min="9740" max="9740" width="17.7265625" style="7" customWidth="1"/>
    <col min="9741" max="9741" width="13.54296875" style="7" customWidth="1"/>
    <col min="9742" max="9742" width="12.81640625" style="7" customWidth="1"/>
    <col min="9743" max="9743" width="11.453125" style="7" customWidth="1"/>
    <col min="9744" max="9744" width="14" style="7" customWidth="1"/>
    <col min="9745" max="9745" width="11.1796875" style="7" customWidth="1"/>
    <col min="9746" max="9747" width="12.81640625" style="7" customWidth="1"/>
    <col min="9748" max="9748" width="18.453125" style="7" customWidth="1"/>
    <col min="9749" max="9749" width="26" style="7" customWidth="1"/>
    <col min="9750" max="9750" width="19.1796875" style="7" customWidth="1"/>
    <col min="9751" max="9766" width="9.1796875" style="7" customWidth="1"/>
    <col min="9767" max="9985" width="8.81640625" style="7"/>
    <col min="9986" max="9986" width="5.7265625" style="7" customWidth="1"/>
    <col min="9987" max="9987" width="26.453125" style="7" customWidth="1"/>
    <col min="9988" max="9988" width="27.7265625" style="7" customWidth="1"/>
    <col min="9989" max="9989" width="23.7265625" style="7" customWidth="1"/>
    <col min="9990" max="9990" width="17.26953125" style="7" customWidth="1"/>
    <col min="9991" max="9995" width="13.54296875" style="7" customWidth="1"/>
    <col min="9996" max="9996" width="17.7265625" style="7" customWidth="1"/>
    <col min="9997" max="9997" width="13.54296875" style="7" customWidth="1"/>
    <col min="9998" max="9998" width="12.81640625" style="7" customWidth="1"/>
    <col min="9999" max="9999" width="11.453125" style="7" customWidth="1"/>
    <col min="10000" max="10000" width="14" style="7" customWidth="1"/>
    <col min="10001" max="10001" width="11.1796875" style="7" customWidth="1"/>
    <col min="10002" max="10003" width="12.81640625" style="7" customWidth="1"/>
    <col min="10004" max="10004" width="18.453125" style="7" customWidth="1"/>
    <col min="10005" max="10005" width="26" style="7" customWidth="1"/>
    <col min="10006" max="10006" width="19.1796875" style="7" customWidth="1"/>
    <col min="10007" max="10022" width="9.1796875" style="7" customWidth="1"/>
    <col min="10023" max="10241" width="8.81640625" style="7"/>
    <col min="10242" max="10242" width="5.7265625" style="7" customWidth="1"/>
    <col min="10243" max="10243" width="26.453125" style="7" customWidth="1"/>
    <col min="10244" max="10244" width="27.7265625" style="7" customWidth="1"/>
    <col min="10245" max="10245" width="23.7265625" style="7" customWidth="1"/>
    <col min="10246" max="10246" width="17.26953125" style="7" customWidth="1"/>
    <col min="10247" max="10251" width="13.54296875" style="7" customWidth="1"/>
    <col min="10252" max="10252" width="17.7265625" style="7" customWidth="1"/>
    <col min="10253" max="10253" width="13.54296875" style="7" customWidth="1"/>
    <col min="10254" max="10254" width="12.81640625" style="7" customWidth="1"/>
    <col min="10255" max="10255" width="11.453125" style="7" customWidth="1"/>
    <col min="10256" max="10256" width="14" style="7" customWidth="1"/>
    <col min="10257" max="10257" width="11.1796875" style="7" customWidth="1"/>
    <col min="10258" max="10259" width="12.81640625" style="7" customWidth="1"/>
    <col min="10260" max="10260" width="18.453125" style="7" customWidth="1"/>
    <col min="10261" max="10261" width="26" style="7" customWidth="1"/>
    <col min="10262" max="10262" width="19.1796875" style="7" customWidth="1"/>
    <col min="10263" max="10278" width="9.1796875" style="7" customWidth="1"/>
    <col min="10279" max="10497" width="8.81640625" style="7"/>
    <col min="10498" max="10498" width="5.7265625" style="7" customWidth="1"/>
    <col min="10499" max="10499" width="26.453125" style="7" customWidth="1"/>
    <col min="10500" max="10500" width="27.7265625" style="7" customWidth="1"/>
    <col min="10501" max="10501" width="23.7265625" style="7" customWidth="1"/>
    <col min="10502" max="10502" width="17.26953125" style="7" customWidth="1"/>
    <col min="10503" max="10507" width="13.54296875" style="7" customWidth="1"/>
    <col min="10508" max="10508" width="17.7265625" style="7" customWidth="1"/>
    <col min="10509" max="10509" width="13.54296875" style="7" customWidth="1"/>
    <col min="10510" max="10510" width="12.81640625" style="7" customWidth="1"/>
    <col min="10511" max="10511" width="11.453125" style="7" customWidth="1"/>
    <col min="10512" max="10512" width="14" style="7" customWidth="1"/>
    <col min="10513" max="10513" width="11.1796875" style="7" customWidth="1"/>
    <col min="10514" max="10515" width="12.81640625" style="7" customWidth="1"/>
    <col min="10516" max="10516" width="18.453125" style="7" customWidth="1"/>
    <col min="10517" max="10517" width="26" style="7" customWidth="1"/>
    <col min="10518" max="10518" width="19.1796875" style="7" customWidth="1"/>
    <col min="10519" max="10534" width="9.1796875" style="7" customWidth="1"/>
    <col min="10535" max="10753" width="8.81640625" style="7"/>
    <col min="10754" max="10754" width="5.7265625" style="7" customWidth="1"/>
    <col min="10755" max="10755" width="26.453125" style="7" customWidth="1"/>
    <col min="10756" max="10756" width="27.7265625" style="7" customWidth="1"/>
    <col min="10757" max="10757" width="23.7265625" style="7" customWidth="1"/>
    <col min="10758" max="10758" width="17.26953125" style="7" customWidth="1"/>
    <col min="10759" max="10763" width="13.54296875" style="7" customWidth="1"/>
    <col min="10764" max="10764" width="17.7265625" style="7" customWidth="1"/>
    <col min="10765" max="10765" width="13.54296875" style="7" customWidth="1"/>
    <col min="10766" max="10766" width="12.81640625" style="7" customWidth="1"/>
    <col min="10767" max="10767" width="11.453125" style="7" customWidth="1"/>
    <col min="10768" max="10768" width="14" style="7" customWidth="1"/>
    <col min="10769" max="10769" width="11.1796875" style="7" customWidth="1"/>
    <col min="10770" max="10771" width="12.81640625" style="7" customWidth="1"/>
    <col min="10772" max="10772" width="18.453125" style="7" customWidth="1"/>
    <col min="10773" max="10773" width="26" style="7" customWidth="1"/>
    <col min="10774" max="10774" width="19.1796875" style="7" customWidth="1"/>
    <col min="10775" max="10790" width="9.1796875" style="7" customWidth="1"/>
    <col min="10791" max="11009" width="8.81640625" style="7"/>
    <col min="11010" max="11010" width="5.7265625" style="7" customWidth="1"/>
    <col min="11011" max="11011" width="26.453125" style="7" customWidth="1"/>
    <col min="11012" max="11012" width="27.7265625" style="7" customWidth="1"/>
    <col min="11013" max="11013" width="23.7265625" style="7" customWidth="1"/>
    <col min="11014" max="11014" width="17.26953125" style="7" customWidth="1"/>
    <col min="11015" max="11019" width="13.54296875" style="7" customWidth="1"/>
    <col min="11020" max="11020" width="17.7265625" style="7" customWidth="1"/>
    <col min="11021" max="11021" width="13.54296875" style="7" customWidth="1"/>
    <col min="11022" max="11022" width="12.81640625" style="7" customWidth="1"/>
    <col min="11023" max="11023" width="11.453125" style="7" customWidth="1"/>
    <col min="11024" max="11024" width="14" style="7" customWidth="1"/>
    <col min="11025" max="11025" width="11.1796875" style="7" customWidth="1"/>
    <col min="11026" max="11027" width="12.81640625" style="7" customWidth="1"/>
    <col min="11028" max="11028" width="18.453125" style="7" customWidth="1"/>
    <col min="11029" max="11029" width="26" style="7" customWidth="1"/>
    <col min="11030" max="11030" width="19.1796875" style="7" customWidth="1"/>
    <col min="11031" max="11046" width="9.1796875" style="7" customWidth="1"/>
    <col min="11047" max="11265" width="8.81640625" style="7"/>
    <col min="11266" max="11266" width="5.7265625" style="7" customWidth="1"/>
    <col min="11267" max="11267" width="26.453125" style="7" customWidth="1"/>
    <col min="11268" max="11268" width="27.7265625" style="7" customWidth="1"/>
    <col min="11269" max="11269" width="23.7265625" style="7" customWidth="1"/>
    <col min="11270" max="11270" width="17.26953125" style="7" customWidth="1"/>
    <col min="11271" max="11275" width="13.54296875" style="7" customWidth="1"/>
    <col min="11276" max="11276" width="17.7265625" style="7" customWidth="1"/>
    <col min="11277" max="11277" width="13.54296875" style="7" customWidth="1"/>
    <col min="11278" max="11278" width="12.81640625" style="7" customWidth="1"/>
    <col min="11279" max="11279" width="11.453125" style="7" customWidth="1"/>
    <col min="11280" max="11280" width="14" style="7" customWidth="1"/>
    <col min="11281" max="11281" width="11.1796875" style="7" customWidth="1"/>
    <col min="11282" max="11283" width="12.81640625" style="7" customWidth="1"/>
    <col min="11284" max="11284" width="18.453125" style="7" customWidth="1"/>
    <col min="11285" max="11285" width="26" style="7" customWidth="1"/>
    <col min="11286" max="11286" width="19.1796875" style="7" customWidth="1"/>
    <col min="11287" max="11302" width="9.1796875" style="7" customWidth="1"/>
    <col min="11303" max="11521" width="8.81640625" style="7"/>
    <col min="11522" max="11522" width="5.7265625" style="7" customWidth="1"/>
    <col min="11523" max="11523" width="26.453125" style="7" customWidth="1"/>
    <col min="11524" max="11524" width="27.7265625" style="7" customWidth="1"/>
    <col min="11525" max="11525" width="23.7265625" style="7" customWidth="1"/>
    <col min="11526" max="11526" width="17.26953125" style="7" customWidth="1"/>
    <col min="11527" max="11531" width="13.54296875" style="7" customWidth="1"/>
    <col min="11532" max="11532" width="17.7265625" style="7" customWidth="1"/>
    <col min="11533" max="11533" width="13.54296875" style="7" customWidth="1"/>
    <col min="11534" max="11534" width="12.81640625" style="7" customWidth="1"/>
    <col min="11535" max="11535" width="11.453125" style="7" customWidth="1"/>
    <col min="11536" max="11536" width="14" style="7" customWidth="1"/>
    <col min="11537" max="11537" width="11.1796875" style="7" customWidth="1"/>
    <col min="11538" max="11539" width="12.81640625" style="7" customWidth="1"/>
    <col min="11540" max="11540" width="18.453125" style="7" customWidth="1"/>
    <col min="11541" max="11541" width="26" style="7" customWidth="1"/>
    <col min="11542" max="11542" width="19.1796875" style="7" customWidth="1"/>
    <col min="11543" max="11558" width="9.1796875" style="7" customWidth="1"/>
    <col min="11559" max="11777" width="8.81640625" style="7"/>
    <col min="11778" max="11778" width="5.7265625" style="7" customWidth="1"/>
    <col min="11779" max="11779" width="26.453125" style="7" customWidth="1"/>
    <col min="11780" max="11780" width="27.7265625" style="7" customWidth="1"/>
    <col min="11781" max="11781" width="23.7265625" style="7" customWidth="1"/>
    <col min="11782" max="11782" width="17.26953125" style="7" customWidth="1"/>
    <col min="11783" max="11787" width="13.54296875" style="7" customWidth="1"/>
    <col min="11788" max="11788" width="17.7265625" style="7" customWidth="1"/>
    <col min="11789" max="11789" width="13.54296875" style="7" customWidth="1"/>
    <col min="11790" max="11790" width="12.81640625" style="7" customWidth="1"/>
    <col min="11791" max="11791" width="11.453125" style="7" customWidth="1"/>
    <col min="11792" max="11792" width="14" style="7" customWidth="1"/>
    <col min="11793" max="11793" width="11.1796875" style="7" customWidth="1"/>
    <col min="11794" max="11795" width="12.81640625" style="7" customWidth="1"/>
    <col min="11796" max="11796" width="18.453125" style="7" customWidth="1"/>
    <col min="11797" max="11797" width="26" style="7" customWidth="1"/>
    <col min="11798" max="11798" width="19.1796875" style="7" customWidth="1"/>
    <col min="11799" max="11814" width="9.1796875" style="7" customWidth="1"/>
    <col min="11815" max="12033" width="8.81640625" style="7"/>
    <col min="12034" max="12034" width="5.7265625" style="7" customWidth="1"/>
    <col min="12035" max="12035" width="26.453125" style="7" customWidth="1"/>
    <col min="12036" max="12036" width="27.7265625" style="7" customWidth="1"/>
    <col min="12037" max="12037" width="23.7265625" style="7" customWidth="1"/>
    <col min="12038" max="12038" width="17.26953125" style="7" customWidth="1"/>
    <col min="12039" max="12043" width="13.54296875" style="7" customWidth="1"/>
    <col min="12044" max="12044" width="17.7265625" style="7" customWidth="1"/>
    <col min="12045" max="12045" width="13.54296875" style="7" customWidth="1"/>
    <col min="12046" max="12046" width="12.81640625" style="7" customWidth="1"/>
    <col min="12047" max="12047" width="11.453125" style="7" customWidth="1"/>
    <col min="12048" max="12048" width="14" style="7" customWidth="1"/>
    <col min="12049" max="12049" width="11.1796875" style="7" customWidth="1"/>
    <col min="12050" max="12051" width="12.81640625" style="7" customWidth="1"/>
    <col min="12052" max="12052" width="18.453125" style="7" customWidth="1"/>
    <col min="12053" max="12053" width="26" style="7" customWidth="1"/>
    <col min="12054" max="12054" width="19.1796875" style="7" customWidth="1"/>
    <col min="12055" max="12070" width="9.1796875" style="7" customWidth="1"/>
    <col min="12071" max="12289" width="8.81640625" style="7"/>
    <col min="12290" max="12290" width="5.7265625" style="7" customWidth="1"/>
    <col min="12291" max="12291" width="26.453125" style="7" customWidth="1"/>
    <col min="12292" max="12292" width="27.7265625" style="7" customWidth="1"/>
    <col min="12293" max="12293" width="23.7265625" style="7" customWidth="1"/>
    <col min="12294" max="12294" width="17.26953125" style="7" customWidth="1"/>
    <col min="12295" max="12299" width="13.54296875" style="7" customWidth="1"/>
    <col min="12300" max="12300" width="17.7265625" style="7" customWidth="1"/>
    <col min="12301" max="12301" width="13.54296875" style="7" customWidth="1"/>
    <col min="12302" max="12302" width="12.81640625" style="7" customWidth="1"/>
    <col min="12303" max="12303" width="11.453125" style="7" customWidth="1"/>
    <col min="12304" max="12304" width="14" style="7" customWidth="1"/>
    <col min="12305" max="12305" width="11.1796875" style="7" customWidth="1"/>
    <col min="12306" max="12307" width="12.81640625" style="7" customWidth="1"/>
    <col min="12308" max="12308" width="18.453125" style="7" customWidth="1"/>
    <col min="12309" max="12309" width="26" style="7" customWidth="1"/>
    <col min="12310" max="12310" width="19.1796875" style="7" customWidth="1"/>
    <col min="12311" max="12326" width="9.1796875" style="7" customWidth="1"/>
    <col min="12327" max="12545" width="8.81640625" style="7"/>
    <col min="12546" max="12546" width="5.7265625" style="7" customWidth="1"/>
    <col min="12547" max="12547" width="26.453125" style="7" customWidth="1"/>
    <col min="12548" max="12548" width="27.7265625" style="7" customWidth="1"/>
    <col min="12549" max="12549" width="23.7265625" style="7" customWidth="1"/>
    <col min="12550" max="12550" width="17.26953125" style="7" customWidth="1"/>
    <col min="12551" max="12555" width="13.54296875" style="7" customWidth="1"/>
    <col min="12556" max="12556" width="17.7265625" style="7" customWidth="1"/>
    <col min="12557" max="12557" width="13.54296875" style="7" customWidth="1"/>
    <col min="12558" max="12558" width="12.81640625" style="7" customWidth="1"/>
    <col min="12559" max="12559" width="11.453125" style="7" customWidth="1"/>
    <col min="12560" max="12560" width="14" style="7" customWidth="1"/>
    <col min="12561" max="12561" width="11.1796875" style="7" customWidth="1"/>
    <col min="12562" max="12563" width="12.81640625" style="7" customWidth="1"/>
    <col min="12564" max="12564" width="18.453125" style="7" customWidth="1"/>
    <col min="12565" max="12565" width="26" style="7" customWidth="1"/>
    <col min="12566" max="12566" width="19.1796875" style="7" customWidth="1"/>
    <col min="12567" max="12582" width="9.1796875" style="7" customWidth="1"/>
    <col min="12583" max="12801" width="8.81640625" style="7"/>
    <col min="12802" max="12802" width="5.7265625" style="7" customWidth="1"/>
    <col min="12803" max="12803" width="26.453125" style="7" customWidth="1"/>
    <col min="12804" max="12804" width="27.7265625" style="7" customWidth="1"/>
    <col min="12805" max="12805" width="23.7265625" style="7" customWidth="1"/>
    <col min="12806" max="12806" width="17.26953125" style="7" customWidth="1"/>
    <col min="12807" max="12811" width="13.54296875" style="7" customWidth="1"/>
    <col min="12812" max="12812" width="17.7265625" style="7" customWidth="1"/>
    <col min="12813" max="12813" width="13.54296875" style="7" customWidth="1"/>
    <col min="12814" max="12814" width="12.81640625" style="7" customWidth="1"/>
    <col min="12815" max="12815" width="11.453125" style="7" customWidth="1"/>
    <col min="12816" max="12816" width="14" style="7" customWidth="1"/>
    <col min="12817" max="12817" width="11.1796875" style="7" customWidth="1"/>
    <col min="12818" max="12819" width="12.81640625" style="7" customWidth="1"/>
    <col min="12820" max="12820" width="18.453125" style="7" customWidth="1"/>
    <col min="12821" max="12821" width="26" style="7" customWidth="1"/>
    <col min="12822" max="12822" width="19.1796875" style="7" customWidth="1"/>
    <col min="12823" max="12838" width="9.1796875" style="7" customWidth="1"/>
    <col min="12839" max="13057" width="8.81640625" style="7"/>
    <col min="13058" max="13058" width="5.7265625" style="7" customWidth="1"/>
    <col min="13059" max="13059" width="26.453125" style="7" customWidth="1"/>
    <col min="13060" max="13060" width="27.7265625" style="7" customWidth="1"/>
    <col min="13061" max="13061" width="23.7265625" style="7" customWidth="1"/>
    <col min="13062" max="13062" width="17.26953125" style="7" customWidth="1"/>
    <col min="13063" max="13067" width="13.54296875" style="7" customWidth="1"/>
    <col min="13068" max="13068" width="17.7265625" style="7" customWidth="1"/>
    <col min="13069" max="13069" width="13.54296875" style="7" customWidth="1"/>
    <col min="13070" max="13070" width="12.81640625" style="7" customWidth="1"/>
    <col min="13071" max="13071" width="11.453125" style="7" customWidth="1"/>
    <col min="13072" max="13072" width="14" style="7" customWidth="1"/>
    <col min="13073" max="13073" width="11.1796875" style="7" customWidth="1"/>
    <col min="13074" max="13075" width="12.81640625" style="7" customWidth="1"/>
    <col min="13076" max="13076" width="18.453125" style="7" customWidth="1"/>
    <col min="13077" max="13077" width="26" style="7" customWidth="1"/>
    <col min="13078" max="13078" width="19.1796875" style="7" customWidth="1"/>
    <col min="13079" max="13094" width="9.1796875" style="7" customWidth="1"/>
    <col min="13095" max="13313" width="8.81640625" style="7"/>
    <col min="13314" max="13314" width="5.7265625" style="7" customWidth="1"/>
    <col min="13315" max="13315" width="26.453125" style="7" customWidth="1"/>
    <col min="13316" max="13316" width="27.7265625" style="7" customWidth="1"/>
    <col min="13317" max="13317" width="23.7265625" style="7" customWidth="1"/>
    <col min="13318" max="13318" width="17.26953125" style="7" customWidth="1"/>
    <col min="13319" max="13323" width="13.54296875" style="7" customWidth="1"/>
    <col min="13324" max="13324" width="17.7265625" style="7" customWidth="1"/>
    <col min="13325" max="13325" width="13.54296875" style="7" customWidth="1"/>
    <col min="13326" max="13326" width="12.81640625" style="7" customWidth="1"/>
    <col min="13327" max="13327" width="11.453125" style="7" customWidth="1"/>
    <col min="13328" max="13328" width="14" style="7" customWidth="1"/>
    <col min="13329" max="13329" width="11.1796875" style="7" customWidth="1"/>
    <col min="13330" max="13331" width="12.81640625" style="7" customWidth="1"/>
    <col min="13332" max="13332" width="18.453125" style="7" customWidth="1"/>
    <col min="13333" max="13333" width="26" style="7" customWidth="1"/>
    <col min="13334" max="13334" width="19.1796875" style="7" customWidth="1"/>
    <col min="13335" max="13350" width="9.1796875" style="7" customWidth="1"/>
    <col min="13351" max="13569" width="8.81640625" style="7"/>
    <col min="13570" max="13570" width="5.7265625" style="7" customWidth="1"/>
    <col min="13571" max="13571" width="26.453125" style="7" customWidth="1"/>
    <col min="13572" max="13572" width="27.7265625" style="7" customWidth="1"/>
    <col min="13573" max="13573" width="23.7265625" style="7" customWidth="1"/>
    <col min="13574" max="13574" width="17.26953125" style="7" customWidth="1"/>
    <col min="13575" max="13579" width="13.54296875" style="7" customWidth="1"/>
    <col min="13580" max="13580" width="17.7265625" style="7" customWidth="1"/>
    <col min="13581" max="13581" width="13.54296875" style="7" customWidth="1"/>
    <col min="13582" max="13582" width="12.81640625" style="7" customWidth="1"/>
    <col min="13583" max="13583" width="11.453125" style="7" customWidth="1"/>
    <col min="13584" max="13584" width="14" style="7" customWidth="1"/>
    <col min="13585" max="13585" width="11.1796875" style="7" customWidth="1"/>
    <col min="13586" max="13587" width="12.81640625" style="7" customWidth="1"/>
    <col min="13588" max="13588" width="18.453125" style="7" customWidth="1"/>
    <col min="13589" max="13589" width="26" style="7" customWidth="1"/>
    <col min="13590" max="13590" width="19.1796875" style="7" customWidth="1"/>
    <col min="13591" max="13606" width="9.1796875" style="7" customWidth="1"/>
    <col min="13607" max="13825" width="8.81640625" style="7"/>
    <col min="13826" max="13826" width="5.7265625" style="7" customWidth="1"/>
    <col min="13827" max="13827" width="26.453125" style="7" customWidth="1"/>
    <col min="13828" max="13828" width="27.7265625" style="7" customWidth="1"/>
    <col min="13829" max="13829" width="23.7265625" style="7" customWidth="1"/>
    <col min="13830" max="13830" width="17.26953125" style="7" customWidth="1"/>
    <col min="13831" max="13835" width="13.54296875" style="7" customWidth="1"/>
    <col min="13836" max="13836" width="17.7265625" style="7" customWidth="1"/>
    <col min="13837" max="13837" width="13.54296875" style="7" customWidth="1"/>
    <col min="13838" max="13838" width="12.81640625" style="7" customWidth="1"/>
    <col min="13839" max="13839" width="11.453125" style="7" customWidth="1"/>
    <col min="13840" max="13840" width="14" style="7" customWidth="1"/>
    <col min="13841" max="13841" width="11.1796875" style="7" customWidth="1"/>
    <col min="13842" max="13843" width="12.81640625" style="7" customWidth="1"/>
    <col min="13844" max="13844" width="18.453125" style="7" customWidth="1"/>
    <col min="13845" max="13845" width="26" style="7" customWidth="1"/>
    <col min="13846" max="13846" width="19.1796875" style="7" customWidth="1"/>
    <col min="13847" max="13862" width="9.1796875" style="7" customWidth="1"/>
    <col min="13863" max="14081" width="8.81640625" style="7"/>
    <col min="14082" max="14082" width="5.7265625" style="7" customWidth="1"/>
    <col min="14083" max="14083" width="26.453125" style="7" customWidth="1"/>
    <col min="14084" max="14084" width="27.7265625" style="7" customWidth="1"/>
    <col min="14085" max="14085" width="23.7265625" style="7" customWidth="1"/>
    <col min="14086" max="14086" width="17.26953125" style="7" customWidth="1"/>
    <col min="14087" max="14091" width="13.54296875" style="7" customWidth="1"/>
    <col min="14092" max="14092" width="17.7265625" style="7" customWidth="1"/>
    <col min="14093" max="14093" width="13.54296875" style="7" customWidth="1"/>
    <col min="14094" max="14094" width="12.81640625" style="7" customWidth="1"/>
    <col min="14095" max="14095" width="11.453125" style="7" customWidth="1"/>
    <col min="14096" max="14096" width="14" style="7" customWidth="1"/>
    <col min="14097" max="14097" width="11.1796875" style="7" customWidth="1"/>
    <col min="14098" max="14099" width="12.81640625" style="7" customWidth="1"/>
    <col min="14100" max="14100" width="18.453125" style="7" customWidth="1"/>
    <col min="14101" max="14101" width="26" style="7" customWidth="1"/>
    <col min="14102" max="14102" width="19.1796875" style="7" customWidth="1"/>
    <col min="14103" max="14118" width="9.1796875" style="7" customWidth="1"/>
    <col min="14119" max="14337" width="8.81640625" style="7"/>
    <col min="14338" max="14338" width="5.7265625" style="7" customWidth="1"/>
    <col min="14339" max="14339" width="26.453125" style="7" customWidth="1"/>
    <col min="14340" max="14340" width="27.7265625" style="7" customWidth="1"/>
    <col min="14341" max="14341" width="23.7265625" style="7" customWidth="1"/>
    <col min="14342" max="14342" width="17.26953125" style="7" customWidth="1"/>
    <col min="14343" max="14347" width="13.54296875" style="7" customWidth="1"/>
    <col min="14348" max="14348" width="17.7265625" style="7" customWidth="1"/>
    <col min="14349" max="14349" width="13.54296875" style="7" customWidth="1"/>
    <col min="14350" max="14350" width="12.81640625" style="7" customWidth="1"/>
    <col min="14351" max="14351" width="11.453125" style="7" customWidth="1"/>
    <col min="14352" max="14352" width="14" style="7" customWidth="1"/>
    <col min="14353" max="14353" width="11.1796875" style="7" customWidth="1"/>
    <col min="14354" max="14355" width="12.81640625" style="7" customWidth="1"/>
    <col min="14356" max="14356" width="18.453125" style="7" customWidth="1"/>
    <col min="14357" max="14357" width="26" style="7" customWidth="1"/>
    <col min="14358" max="14358" width="19.1796875" style="7" customWidth="1"/>
    <col min="14359" max="14374" width="9.1796875" style="7" customWidth="1"/>
    <col min="14375" max="14593" width="8.81640625" style="7"/>
    <col min="14594" max="14594" width="5.7265625" style="7" customWidth="1"/>
    <col min="14595" max="14595" width="26.453125" style="7" customWidth="1"/>
    <col min="14596" max="14596" width="27.7265625" style="7" customWidth="1"/>
    <col min="14597" max="14597" width="23.7265625" style="7" customWidth="1"/>
    <col min="14598" max="14598" width="17.26953125" style="7" customWidth="1"/>
    <col min="14599" max="14603" width="13.54296875" style="7" customWidth="1"/>
    <col min="14604" max="14604" width="17.7265625" style="7" customWidth="1"/>
    <col min="14605" max="14605" width="13.54296875" style="7" customWidth="1"/>
    <col min="14606" max="14606" width="12.81640625" style="7" customWidth="1"/>
    <col min="14607" max="14607" width="11.453125" style="7" customWidth="1"/>
    <col min="14608" max="14608" width="14" style="7" customWidth="1"/>
    <col min="14609" max="14609" width="11.1796875" style="7" customWidth="1"/>
    <col min="14610" max="14611" width="12.81640625" style="7" customWidth="1"/>
    <col min="14612" max="14612" width="18.453125" style="7" customWidth="1"/>
    <col min="14613" max="14613" width="26" style="7" customWidth="1"/>
    <col min="14614" max="14614" width="19.1796875" style="7" customWidth="1"/>
    <col min="14615" max="14630" width="9.1796875" style="7" customWidth="1"/>
    <col min="14631" max="14849" width="8.81640625" style="7"/>
    <col min="14850" max="14850" width="5.7265625" style="7" customWidth="1"/>
    <col min="14851" max="14851" width="26.453125" style="7" customWidth="1"/>
    <col min="14852" max="14852" width="27.7265625" style="7" customWidth="1"/>
    <col min="14853" max="14853" width="23.7265625" style="7" customWidth="1"/>
    <col min="14854" max="14854" width="17.26953125" style="7" customWidth="1"/>
    <col min="14855" max="14859" width="13.54296875" style="7" customWidth="1"/>
    <col min="14860" max="14860" width="17.7265625" style="7" customWidth="1"/>
    <col min="14861" max="14861" width="13.54296875" style="7" customWidth="1"/>
    <col min="14862" max="14862" width="12.81640625" style="7" customWidth="1"/>
    <col min="14863" max="14863" width="11.453125" style="7" customWidth="1"/>
    <col min="14864" max="14864" width="14" style="7" customWidth="1"/>
    <col min="14865" max="14865" width="11.1796875" style="7" customWidth="1"/>
    <col min="14866" max="14867" width="12.81640625" style="7" customWidth="1"/>
    <col min="14868" max="14868" width="18.453125" style="7" customWidth="1"/>
    <col min="14869" max="14869" width="26" style="7" customWidth="1"/>
    <col min="14870" max="14870" width="19.1796875" style="7" customWidth="1"/>
    <col min="14871" max="14886" width="9.1796875" style="7" customWidth="1"/>
    <col min="14887" max="15105" width="8.81640625" style="7"/>
    <col min="15106" max="15106" width="5.7265625" style="7" customWidth="1"/>
    <col min="15107" max="15107" width="26.453125" style="7" customWidth="1"/>
    <col min="15108" max="15108" width="27.7265625" style="7" customWidth="1"/>
    <col min="15109" max="15109" width="23.7265625" style="7" customWidth="1"/>
    <col min="15110" max="15110" width="17.26953125" style="7" customWidth="1"/>
    <col min="15111" max="15115" width="13.54296875" style="7" customWidth="1"/>
    <col min="15116" max="15116" width="17.7265625" style="7" customWidth="1"/>
    <col min="15117" max="15117" width="13.54296875" style="7" customWidth="1"/>
    <col min="15118" max="15118" width="12.81640625" style="7" customWidth="1"/>
    <col min="15119" max="15119" width="11.453125" style="7" customWidth="1"/>
    <col min="15120" max="15120" width="14" style="7" customWidth="1"/>
    <col min="15121" max="15121" width="11.1796875" style="7" customWidth="1"/>
    <col min="15122" max="15123" width="12.81640625" style="7" customWidth="1"/>
    <col min="15124" max="15124" width="18.453125" style="7" customWidth="1"/>
    <col min="15125" max="15125" width="26" style="7" customWidth="1"/>
    <col min="15126" max="15126" width="19.1796875" style="7" customWidth="1"/>
    <col min="15127" max="15142" width="9.1796875" style="7" customWidth="1"/>
    <col min="15143" max="15361" width="8.81640625" style="7"/>
    <col min="15362" max="15362" width="5.7265625" style="7" customWidth="1"/>
    <col min="15363" max="15363" width="26.453125" style="7" customWidth="1"/>
    <col min="15364" max="15364" width="27.7265625" style="7" customWidth="1"/>
    <col min="15365" max="15365" width="23.7265625" style="7" customWidth="1"/>
    <col min="15366" max="15366" width="17.26953125" style="7" customWidth="1"/>
    <col min="15367" max="15371" width="13.54296875" style="7" customWidth="1"/>
    <col min="15372" max="15372" width="17.7265625" style="7" customWidth="1"/>
    <col min="15373" max="15373" width="13.54296875" style="7" customWidth="1"/>
    <col min="15374" max="15374" width="12.81640625" style="7" customWidth="1"/>
    <col min="15375" max="15375" width="11.453125" style="7" customWidth="1"/>
    <col min="15376" max="15376" width="14" style="7" customWidth="1"/>
    <col min="15377" max="15377" width="11.1796875" style="7" customWidth="1"/>
    <col min="15378" max="15379" width="12.81640625" style="7" customWidth="1"/>
    <col min="15380" max="15380" width="18.453125" style="7" customWidth="1"/>
    <col min="15381" max="15381" width="26" style="7" customWidth="1"/>
    <col min="15382" max="15382" width="19.1796875" style="7" customWidth="1"/>
    <col min="15383" max="15398" width="9.1796875" style="7" customWidth="1"/>
    <col min="15399" max="15617" width="8.81640625" style="7"/>
    <col min="15618" max="15618" width="5.7265625" style="7" customWidth="1"/>
    <col min="15619" max="15619" width="26.453125" style="7" customWidth="1"/>
    <col min="15620" max="15620" width="27.7265625" style="7" customWidth="1"/>
    <col min="15621" max="15621" width="23.7265625" style="7" customWidth="1"/>
    <col min="15622" max="15622" width="17.26953125" style="7" customWidth="1"/>
    <col min="15623" max="15627" width="13.54296875" style="7" customWidth="1"/>
    <col min="15628" max="15628" width="17.7265625" style="7" customWidth="1"/>
    <col min="15629" max="15629" width="13.54296875" style="7" customWidth="1"/>
    <col min="15630" max="15630" width="12.81640625" style="7" customWidth="1"/>
    <col min="15631" max="15631" width="11.453125" style="7" customWidth="1"/>
    <col min="15632" max="15632" width="14" style="7" customWidth="1"/>
    <col min="15633" max="15633" width="11.1796875" style="7" customWidth="1"/>
    <col min="15634" max="15635" width="12.81640625" style="7" customWidth="1"/>
    <col min="15636" max="15636" width="18.453125" style="7" customWidth="1"/>
    <col min="15637" max="15637" width="26" style="7" customWidth="1"/>
    <col min="15638" max="15638" width="19.1796875" style="7" customWidth="1"/>
    <col min="15639" max="15654" width="9.1796875" style="7" customWidth="1"/>
    <col min="15655" max="15873" width="8.81640625" style="7"/>
    <col min="15874" max="15874" width="5.7265625" style="7" customWidth="1"/>
    <col min="15875" max="15875" width="26.453125" style="7" customWidth="1"/>
    <col min="15876" max="15876" width="27.7265625" style="7" customWidth="1"/>
    <col min="15877" max="15877" width="23.7265625" style="7" customWidth="1"/>
    <col min="15878" max="15878" width="17.26953125" style="7" customWidth="1"/>
    <col min="15879" max="15883" width="13.54296875" style="7" customWidth="1"/>
    <col min="15884" max="15884" width="17.7265625" style="7" customWidth="1"/>
    <col min="15885" max="15885" width="13.54296875" style="7" customWidth="1"/>
    <col min="15886" max="15886" width="12.81640625" style="7" customWidth="1"/>
    <col min="15887" max="15887" width="11.453125" style="7" customWidth="1"/>
    <col min="15888" max="15888" width="14" style="7" customWidth="1"/>
    <col min="15889" max="15889" width="11.1796875" style="7" customWidth="1"/>
    <col min="15890" max="15891" width="12.81640625" style="7" customWidth="1"/>
    <col min="15892" max="15892" width="18.453125" style="7" customWidth="1"/>
    <col min="15893" max="15893" width="26" style="7" customWidth="1"/>
    <col min="15894" max="15894" width="19.1796875" style="7" customWidth="1"/>
    <col min="15895" max="15910" width="9.1796875" style="7" customWidth="1"/>
    <col min="15911" max="16129" width="8.81640625" style="7"/>
    <col min="16130" max="16130" width="5.7265625" style="7" customWidth="1"/>
    <col min="16131" max="16131" width="26.453125" style="7" customWidth="1"/>
    <col min="16132" max="16132" width="27.7265625" style="7" customWidth="1"/>
    <col min="16133" max="16133" width="23.7265625" style="7" customWidth="1"/>
    <col min="16134" max="16134" width="17.26953125" style="7" customWidth="1"/>
    <col min="16135" max="16139" width="13.54296875" style="7" customWidth="1"/>
    <col min="16140" max="16140" width="17.7265625" style="7" customWidth="1"/>
    <col min="16141" max="16141" width="13.54296875" style="7" customWidth="1"/>
    <col min="16142" max="16142" width="12.81640625" style="7" customWidth="1"/>
    <col min="16143" max="16143" width="11.453125" style="7" customWidth="1"/>
    <col min="16144" max="16144" width="14" style="7" customWidth="1"/>
    <col min="16145" max="16145" width="11.1796875" style="7" customWidth="1"/>
    <col min="16146" max="16147" width="12.81640625" style="7" customWidth="1"/>
    <col min="16148" max="16148" width="18.453125" style="7" customWidth="1"/>
    <col min="16149" max="16149" width="26" style="7" customWidth="1"/>
    <col min="16150" max="16150" width="19.1796875" style="7" customWidth="1"/>
    <col min="16151" max="16166" width="9.1796875" style="7" customWidth="1"/>
    <col min="16167" max="16384" width="8.81640625" style="7"/>
  </cols>
  <sheetData>
    <row r="2" spans="1:38" ht="15.75" customHeight="1" x14ac:dyDescent="0.35">
      <c r="B2" s="720" t="s">
        <v>48</v>
      </c>
      <c r="C2" s="720"/>
      <c r="D2" s="720"/>
      <c r="E2" s="720"/>
      <c r="F2" s="720"/>
      <c r="G2" s="720"/>
      <c r="H2" s="720"/>
      <c r="I2" s="720"/>
      <c r="J2" s="720"/>
      <c r="K2" s="720"/>
      <c r="L2" s="720"/>
      <c r="M2" s="720"/>
      <c r="N2" s="720"/>
      <c r="O2" s="720"/>
      <c r="P2" s="720"/>
      <c r="Q2" s="720"/>
      <c r="R2" s="720"/>
      <c r="S2" s="720"/>
      <c r="T2" s="720"/>
      <c r="U2" s="720"/>
      <c r="V2" s="720"/>
    </row>
    <row r="3" spans="1:38" x14ac:dyDescent="0.35">
      <c r="A3" s="694" t="s">
        <v>212</v>
      </c>
      <c r="B3" s="694"/>
      <c r="C3" s="694"/>
      <c r="D3" s="694"/>
      <c r="E3" s="694"/>
      <c r="F3" s="694"/>
      <c r="G3" s="694"/>
      <c r="H3" s="694"/>
      <c r="I3" s="694"/>
      <c r="J3" s="694"/>
      <c r="K3" s="694"/>
      <c r="L3" s="694"/>
      <c r="M3" s="694"/>
      <c r="N3" s="694"/>
      <c r="O3" s="694"/>
      <c r="P3" s="694"/>
      <c r="Q3" s="694"/>
      <c r="R3" s="694"/>
      <c r="S3" s="694"/>
      <c r="T3" s="694"/>
      <c r="U3" s="694"/>
      <c r="V3" s="694"/>
    </row>
    <row r="4" spans="1:38" x14ac:dyDescent="0.35">
      <c r="A4" s="694" t="s">
        <v>256</v>
      </c>
      <c r="B4" s="694"/>
      <c r="C4" s="694"/>
      <c r="D4" s="694"/>
      <c r="E4" s="694"/>
      <c r="F4" s="694"/>
      <c r="G4" s="694"/>
      <c r="H4" s="694"/>
      <c r="I4" s="694"/>
      <c r="J4" s="694"/>
      <c r="K4" s="694"/>
      <c r="L4" s="694"/>
      <c r="M4" s="694"/>
      <c r="N4" s="694"/>
      <c r="O4" s="694"/>
      <c r="P4" s="694"/>
      <c r="Q4" s="694"/>
      <c r="R4" s="694"/>
      <c r="S4" s="694"/>
      <c r="T4" s="694"/>
      <c r="U4" s="694"/>
      <c r="V4" s="694"/>
    </row>
    <row r="5" spans="1:38" x14ac:dyDescent="0.35">
      <c r="B5" s="721"/>
      <c r="C5" s="721"/>
      <c r="D5" s="721"/>
      <c r="E5" s="721"/>
      <c r="F5" s="721"/>
      <c r="G5" s="721"/>
      <c r="H5" s="721"/>
      <c r="I5" s="721"/>
      <c r="J5" s="721"/>
      <c r="K5" s="721"/>
      <c r="L5" s="721"/>
      <c r="M5" s="721"/>
      <c r="N5" s="721"/>
      <c r="O5" s="721"/>
      <c r="P5" s="721"/>
      <c r="Q5" s="721"/>
      <c r="R5" s="721"/>
      <c r="S5" s="721"/>
      <c r="T5" s="721"/>
      <c r="U5" s="721"/>
      <c r="V5" s="721"/>
    </row>
    <row r="6" spans="1:38" ht="21" customHeight="1" x14ac:dyDescent="0.35">
      <c r="A6" s="711" t="s">
        <v>0</v>
      </c>
      <c r="B6" s="711"/>
      <c r="C6" s="710" t="s">
        <v>53</v>
      </c>
      <c r="D6" s="710" t="s">
        <v>51</v>
      </c>
      <c r="E6" s="710" t="s">
        <v>223</v>
      </c>
      <c r="F6" s="710" t="s">
        <v>8</v>
      </c>
      <c r="G6" s="711" t="s">
        <v>18</v>
      </c>
      <c r="H6" s="711"/>
      <c r="I6" s="711"/>
      <c r="J6" s="711"/>
      <c r="K6" s="711"/>
      <c r="L6" s="711"/>
      <c r="M6" s="711"/>
      <c r="N6" s="711"/>
      <c r="O6" s="711"/>
      <c r="P6" s="711"/>
      <c r="Q6" s="711"/>
      <c r="R6" s="711"/>
      <c r="S6" s="711"/>
      <c r="T6" s="711"/>
      <c r="U6" s="711"/>
      <c r="V6" s="711"/>
    </row>
    <row r="7" spans="1:38" ht="116.25" customHeight="1" x14ac:dyDescent="0.35">
      <c r="A7" s="711"/>
      <c r="B7" s="711"/>
      <c r="C7" s="710"/>
      <c r="D7" s="710"/>
      <c r="E7" s="710"/>
      <c r="F7" s="710"/>
      <c r="G7" s="710" t="s">
        <v>224</v>
      </c>
      <c r="H7" s="710"/>
      <c r="I7" s="710" t="s">
        <v>19</v>
      </c>
      <c r="J7" s="710"/>
      <c r="K7" s="710" t="s">
        <v>20</v>
      </c>
      <c r="L7" s="710"/>
      <c r="M7" s="710" t="s">
        <v>21</v>
      </c>
      <c r="N7" s="710"/>
      <c r="O7" s="710" t="s">
        <v>22</v>
      </c>
      <c r="P7" s="710"/>
      <c r="Q7" s="710" t="s">
        <v>226</v>
      </c>
      <c r="R7" s="710"/>
      <c r="S7" s="710" t="s">
        <v>23</v>
      </c>
      <c r="T7" s="710"/>
      <c r="U7" s="729" t="s">
        <v>24</v>
      </c>
      <c r="V7" s="729"/>
    </row>
    <row r="8" spans="1:38" ht="32.65" customHeight="1" x14ac:dyDescent="0.35">
      <c r="A8" s="711"/>
      <c r="B8" s="711"/>
      <c r="C8" s="710"/>
      <c r="D8" s="710"/>
      <c r="E8" s="710"/>
      <c r="F8" s="710"/>
      <c r="G8" s="109" t="s">
        <v>2</v>
      </c>
      <c r="H8" s="109" t="s">
        <v>1</v>
      </c>
      <c r="I8" s="109" t="s">
        <v>2</v>
      </c>
      <c r="J8" s="109" t="s">
        <v>1</v>
      </c>
      <c r="K8" s="109" t="s">
        <v>2</v>
      </c>
      <c r="L8" s="109" t="s">
        <v>1</v>
      </c>
      <c r="M8" s="109" t="s">
        <v>2</v>
      </c>
      <c r="N8" s="109" t="s">
        <v>1</v>
      </c>
      <c r="O8" s="109" t="s">
        <v>2</v>
      </c>
      <c r="P8" s="109" t="s">
        <v>1</v>
      </c>
      <c r="Q8" s="109" t="s">
        <v>2</v>
      </c>
      <c r="R8" s="109" t="s">
        <v>1</v>
      </c>
      <c r="S8" s="109" t="s">
        <v>2</v>
      </c>
      <c r="T8" s="109" t="s">
        <v>1</v>
      </c>
      <c r="U8" s="662" t="s">
        <v>2</v>
      </c>
      <c r="V8" s="662" t="s">
        <v>1</v>
      </c>
    </row>
    <row r="9" spans="1:38" s="25" customFormat="1" ht="12" customHeight="1" x14ac:dyDescent="0.25">
      <c r="A9" s="544"/>
      <c r="B9" s="31">
        <v>1</v>
      </c>
      <c r="C9" s="31">
        <v>2</v>
      </c>
      <c r="D9" s="31">
        <v>3</v>
      </c>
      <c r="E9" s="31">
        <v>4</v>
      </c>
      <c r="F9" s="31">
        <v>5</v>
      </c>
      <c r="G9" s="31">
        <v>6</v>
      </c>
      <c r="H9" s="31">
        <v>7</v>
      </c>
      <c r="I9" s="31">
        <v>8</v>
      </c>
      <c r="J9" s="664">
        <v>9</v>
      </c>
      <c r="K9" s="31">
        <v>10</v>
      </c>
      <c r="L9" s="31">
        <v>11</v>
      </c>
      <c r="M9" s="31">
        <v>12</v>
      </c>
      <c r="N9" s="31">
        <v>13</v>
      </c>
      <c r="O9" s="31">
        <v>14</v>
      </c>
      <c r="P9" s="31">
        <v>15</v>
      </c>
      <c r="Q9" s="31">
        <v>16</v>
      </c>
      <c r="R9" s="31">
        <v>17</v>
      </c>
      <c r="S9" s="31">
        <v>18</v>
      </c>
      <c r="T9" s="31">
        <v>19</v>
      </c>
      <c r="U9" s="663">
        <v>20</v>
      </c>
      <c r="V9" s="663">
        <v>21</v>
      </c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</row>
    <row r="10" spans="1:38" ht="33" customHeight="1" x14ac:dyDescent="0.35">
      <c r="A10" s="544">
        <v>1</v>
      </c>
      <c r="B10" s="110">
        <v>1</v>
      </c>
      <c r="C10" s="335" t="s">
        <v>137</v>
      </c>
      <c r="D10" s="335" t="s">
        <v>216</v>
      </c>
      <c r="E10" s="675">
        <v>13</v>
      </c>
      <c r="F10" s="154">
        <f>F120</f>
        <v>4019</v>
      </c>
      <c r="G10" s="110">
        <v>3</v>
      </c>
      <c r="H10" s="305">
        <f>G10/E10*100</f>
        <v>23.076923076923077</v>
      </c>
      <c r="I10" s="676">
        <f>I120</f>
        <v>4019</v>
      </c>
      <c r="J10" s="677">
        <f>I10/F10*100</f>
        <v>100</v>
      </c>
      <c r="K10" s="676">
        <f>K120</f>
        <v>1707</v>
      </c>
      <c r="L10" s="305">
        <f>K10/F10*100</f>
        <v>42.473252052749437</v>
      </c>
      <c r="M10" s="678">
        <f>M120</f>
        <v>1421</v>
      </c>
      <c r="N10" s="679">
        <f>M10/F10*100</f>
        <v>35.357053993530727</v>
      </c>
      <c r="O10" s="680">
        <f>O120</f>
        <v>716</v>
      </c>
      <c r="P10" s="305">
        <f>O10/F10*100</f>
        <v>17.815376959442649</v>
      </c>
      <c r="Q10" s="683">
        <f>Q120</f>
        <v>75</v>
      </c>
      <c r="R10" s="110">
        <f>Q10/E10*100</f>
        <v>576.92307692307691</v>
      </c>
      <c r="S10" s="100">
        <f>S120</f>
        <v>0</v>
      </c>
      <c r="T10" s="100">
        <f>S10/F10*100</f>
        <v>0</v>
      </c>
      <c r="U10" s="677">
        <f>(I10+K10+M10+O10+S10)/5</f>
        <v>1572.6</v>
      </c>
      <c r="V10" s="677">
        <f>U10/F10*100</f>
        <v>39.129136601144559</v>
      </c>
    </row>
    <row r="11" spans="1:38" ht="33" customHeight="1" x14ac:dyDescent="0.35">
      <c r="A11" s="544"/>
      <c r="B11" s="110">
        <v>2</v>
      </c>
      <c r="C11" s="335" t="s">
        <v>58</v>
      </c>
      <c r="D11" s="335" t="s">
        <v>217</v>
      </c>
      <c r="E11" s="675">
        <v>8</v>
      </c>
      <c r="F11" s="154">
        <f>F37</f>
        <v>6471</v>
      </c>
      <c r="G11" s="110">
        <v>3</v>
      </c>
      <c r="H11" s="305">
        <f t="shared" ref="H11:H20" si="0">G11/E11*100</f>
        <v>37.5</v>
      </c>
      <c r="I11" s="676">
        <f>I37</f>
        <v>5498</v>
      </c>
      <c r="J11" s="677">
        <f t="shared" ref="J11:J14" si="1">I11/F11*100</f>
        <v>84.963684129191776</v>
      </c>
      <c r="K11" s="676">
        <f>K37</f>
        <v>5589</v>
      </c>
      <c r="L11" s="305">
        <f>K11/F11*100</f>
        <v>86.369958275382473</v>
      </c>
      <c r="M11" s="680">
        <f>M37</f>
        <v>3421</v>
      </c>
      <c r="N11" s="679">
        <f t="shared" ref="N11:N16" si="2">M11/F11*100</f>
        <v>52.866635759542582</v>
      </c>
      <c r="O11" s="680">
        <f>O37</f>
        <v>145</v>
      </c>
      <c r="P11" s="305">
        <f>O11/F11*100</f>
        <v>2.2407664966774843</v>
      </c>
      <c r="Q11" s="683">
        <f>Q37</f>
        <v>6</v>
      </c>
      <c r="R11" s="110">
        <f t="shared" ref="R11:R16" si="3">Q11/E11*100</f>
        <v>75</v>
      </c>
      <c r="S11" s="100">
        <f>S37</f>
        <v>0</v>
      </c>
      <c r="T11" s="100">
        <f t="shared" ref="T11:T20" si="4">S11/F11*100</f>
        <v>0</v>
      </c>
      <c r="U11" s="677">
        <f t="shared" ref="U11:U19" si="5">(I11+K11+M11+O11+S11)/5</f>
        <v>2930.6</v>
      </c>
      <c r="V11" s="677">
        <f t="shared" ref="V11:V20" si="6">U11/F11*100</f>
        <v>45.288208932158867</v>
      </c>
    </row>
    <row r="12" spans="1:38" ht="33" customHeight="1" x14ac:dyDescent="0.35">
      <c r="A12" s="544"/>
      <c r="B12" s="110">
        <v>3</v>
      </c>
      <c r="C12" s="335" t="s">
        <v>213</v>
      </c>
      <c r="D12" s="335" t="s">
        <v>218</v>
      </c>
      <c r="E12" s="675">
        <f>D106</f>
        <v>9</v>
      </c>
      <c r="F12" s="154">
        <f>F106</f>
        <v>2634</v>
      </c>
      <c r="G12" s="154">
        <v>9</v>
      </c>
      <c r="H12" s="154">
        <f t="shared" ref="H12:V12" si="7">H106</f>
        <v>100</v>
      </c>
      <c r="I12" s="681">
        <f>I106</f>
        <v>2049</v>
      </c>
      <c r="J12" s="681">
        <f t="shared" si="7"/>
        <v>77.790432801822334</v>
      </c>
      <c r="K12" s="681">
        <f>K106</f>
        <v>2269</v>
      </c>
      <c r="L12" s="154">
        <f t="shared" si="7"/>
        <v>86.142748671222478</v>
      </c>
      <c r="M12" s="154">
        <f>M106</f>
        <v>195</v>
      </c>
      <c r="N12" s="154">
        <f t="shared" si="7"/>
        <v>7.403189066059225</v>
      </c>
      <c r="O12" s="154">
        <f>O106</f>
        <v>238</v>
      </c>
      <c r="P12" s="154">
        <f t="shared" si="7"/>
        <v>9.0356871678056194</v>
      </c>
      <c r="Q12" s="154">
        <f>Q106</f>
        <v>15</v>
      </c>
      <c r="R12" s="154">
        <f t="shared" si="7"/>
        <v>0.56947608200455579</v>
      </c>
      <c r="S12" s="154">
        <f>S106</f>
        <v>556</v>
      </c>
      <c r="T12" s="154">
        <f t="shared" si="7"/>
        <v>21.108580106302202</v>
      </c>
      <c r="U12" s="681">
        <f t="shared" si="7"/>
        <v>1585</v>
      </c>
      <c r="V12" s="681">
        <f t="shared" si="7"/>
        <v>60.174639331814731</v>
      </c>
    </row>
    <row r="13" spans="1:38" ht="33" customHeight="1" x14ac:dyDescent="0.35">
      <c r="A13" s="544"/>
      <c r="B13" s="110">
        <v>4</v>
      </c>
      <c r="C13" s="335" t="s">
        <v>106</v>
      </c>
      <c r="D13" s="335" t="s">
        <v>107</v>
      </c>
      <c r="E13" s="675">
        <v>12</v>
      </c>
      <c r="F13" s="154">
        <f>F85</f>
        <v>2616</v>
      </c>
      <c r="G13" s="110">
        <v>7</v>
      </c>
      <c r="H13" s="305">
        <f t="shared" si="0"/>
        <v>58.333333333333336</v>
      </c>
      <c r="I13" s="676">
        <f>I85</f>
        <v>365</v>
      </c>
      <c r="J13" s="677">
        <f t="shared" si="1"/>
        <v>13.952599388379205</v>
      </c>
      <c r="K13" s="676">
        <f>K85</f>
        <v>427</v>
      </c>
      <c r="L13" s="305">
        <f t="shared" ref="L13:L16" si="8">K13/F13*100</f>
        <v>16.322629969418962</v>
      </c>
      <c r="M13" s="678">
        <f>M85</f>
        <v>282</v>
      </c>
      <c r="N13" s="679">
        <f t="shared" si="2"/>
        <v>10.779816513761469</v>
      </c>
      <c r="O13" s="680">
        <f>O85</f>
        <v>135</v>
      </c>
      <c r="P13" s="305">
        <f t="shared" ref="P13:P16" si="9">O13/F13*100</f>
        <v>5.1605504587155968</v>
      </c>
      <c r="Q13" s="630">
        <f>Q85</f>
        <v>0</v>
      </c>
      <c r="R13" s="630">
        <f t="shared" si="3"/>
        <v>0</v>
      </c>
      <c r="S13" s="100">
        <f>S85</f>
        <v>0</v>
      </c>
      <c r="T13" s="100">
        <f t="shared" si="4"/>
        <v>0</v>
      </c>
      <c r="U13" s="677">
        <f t="shared" si="5"/>
        <v>241.8</v>
      </c>
      <c r="V13" s="677">
        <f t="shared" si="6"/>
        <v>9.2431192660550465</v>
      </c>
    </row>
    <row r="14" spans="1:38" ht="33" customHeight="1" x14ac:dyDescent="0.35">
      <c r="A14" s="544"/>
      <c r="B14" s="110">
        <v>5</v>
      </c>
      <c r="C14" s="335" t="s">
        <v>214</v>
      </c>
      <c r="D14" s="335" t="s">
        <v>72</v>
      </c>
      <c r="E14" s="675">
        <v>7</v>
      </c>
      <c r="F14" s="305">
        <f>F45</f>
        <v>1527</v>
      </c>
      <c r="G14" s="110">
        <v>6</v>
      </c>
      <c r="H14" s="305">
        <f t="shared" si="0"/>
        <v>85.714285714285708</v>
      </c>
      <c r="I14" s="676">
        <f>I45</f>
        <v>1262</v>
      </c>
      <c r="J14" s="677">
        <f t="shared" si="1"/>
        <v>82.645710543549441</v>
      </c>
      <c r="K14" s="676">
        <f>K45</f>
        <v>1728</v>
      </c>
      <c r="L14" s="305">
        <f t="shared" si="8"/>
        <v>113.16306483300589</v>
      </c>
      <c r="M14" s="678">
        <f>M45</f>
        <v>1246</v>
      </c>
      <c r="N14" s="679">
        <f t="shared" si="2"/>
        <v>81.597904387688274</v>
      </c>
      <c r="O14" s="678">
        <f>O45</f>
        <v>373</v>
      </c>
      <c r="P14" s="305">
        <f t="shared" si="9"/>
        <v>24.426981008513422</v>
      </c>
      <c r="Q14" s="100">
        <f>Q45</f>
        <v>0</v>
      </c>
      <c r="R14" s="630">
        <f t="shared" si="3"/>
        <v>0</v>
      </c>
      <c r="S14" s="305">
        <f>S45</f>
        <v>1243</v>
      </c>
      <c r="T14" s="305">
        <f t="shared" si="4"/>
        <v>81.401440733464312</v>
      </c>
      <c r="U14" s="677">
        <f t="shared" si="5"/>
        <v>1170.4000000000001</v>
      </c>
      <c r="V14" s="677">
        <f t="shared" si="6"/>
        <v>76.647020301244268</v>
      </c>
    </row>
    <row r="15" spans="1:38" ht="33" customHeight="1" x14ac:dyDescent="0.35">
      <c r="A15" s="544"/>
      <c r="B15" s="110">
        <v>6</v>
      </c>
      <c r="C15" s="335" t="s">
        <v>126</v>
      </c>
      <c r="D15" s="335" t="s">
        <v>219</v>
      </c>
      <c r="E15" s="682">
        <v>9</v>
      </c>
      <c r="F15" s="683">
        <f>F96</f>
        <v>2116</v>
      </c>
      <c r="G15" s="683">
        <f t="shared" ref="G15:T15" si="10">G96</f>
        <v>27</v>
      </c>
      <c r="H15" s="683">
        <f t="shared" si="10"/>
        <v>81.818181818181827</v>
      </c>
      <c r="I15" s="683">
        <f>I96</f>
        <v>1867</v>
      </c>
      <c r="J15" s="683">
        <f t="shared" si="10"/>
        <v>88.232514177693773</v>
      </c>
      <c r="K15" s="683">
        <f>K96</f>
        <v>1328</v>
      </c>
      <c r="L15" s="683">
        <f t="shared" si="10"/>
        <v>62.759924385633269</v>
      </c>
      <c r="M15" s="677">
        <f>M96</f>
        <v>1328</v>
      </c>
      <c r="N15" s="683">
        <f t="shared" si="10"/>
        <v>62.759924385633269</v>
      </c>
      <c r="O15" s="683">
        <f>O96</f>
        <v>1867</v>
      </c>
      <c r="P15" s="683">
        <f t="shared" si="10"/>
        <v>88.232514177693773</v>
      </c>
      <c r="Q15" s="683">
        <f>Q96</f>
        <v>12</v>
      </c>
      <c r="R15" s="683">
        <f t="shared" si="10"/>
        <v>0.56710775047258988</v>
      </c>
      <c r="S15" s="683">
        <f>S96</f>
        <v>35</v>
      </c>
      <c r="T15" s="683">
        <f t="shared" si="10"/>
        <v>1.65406427221172</v>
      </c>
      <c r="U15" s="683">
        <f>U96</f>
        <v>1870</v>
      </c>
      <c r="V15" s="677">
        <f>V96</f>
        <v>88.374291115311905</v>
      </c>
    </row>
    <row r="16" spans="1:38" ht="33" customHeight="1" x14ac:dyDescent="0.35">
      <c r="A16" s="544"/>
      <c r="B16" s="110">
        <v>7</v>
      </c>
      <c r="C16" s="335" t="s">
        <v>77</v>
      </c>
      <c r="D16" s="335" t="s">
        <v>91</v>
      </c>
      <c r="E16" s="675">
        <v>11</v>
      </c>
      <c r="F16" s="154">
        <f>F72</f>
        <v>6551</v>
      </c>
      <c r="G16" s="110">
        <v>10</v>
      </c>
      <c r="H16" s="305">
        <f t="shared" si="0"/>
        <v>90.909090909090907</v>
      </c>
      <c r="I16" s="676">
        <f>I72</f>
        <v>5383</v>
      </c>
      <c r="J16" s="677">
        <f t="shared" ref="J16:J21" si="11">I16/F16*100</f>
        <v>82.170660967791179</v>
      </c>
      <c r="K16" s="676">
        <f>K72</f>
        <v>5505</v>
      </c>
      <c r="L16" s="305">
        <f t="shared" si="8"/>
        <v>84.032972065333539</v>
      </c>
      <c r="M16" s="684">
        <f>M72</f>
        <v>5154</v>
      </c>
      <c r="N16" s="679">
        <f t="shared" si="2"/>
        <v>78.675011448633796</v>
      </c>
      <c r="O16" s="684">
        <f>O72</f>
        <v>2950</v>
      </c>
      <c r="P16" s="305">
        <f t="shared" si="9"/>
        <v>45.031292932376736</v>
      </c>
      <c r="Q16" s="154">
        <f>Q72</f>
        <v>58</v>
      </c>
      <c r="R16" s="110">
        <f t="shared" si="3"/>
        <v>527.27272727272725</v>
      </c>
      <c r="S16" s="305">
        <f>S72</f>
        <v>3308</v>
      </c>
      <c r="T16" s="305">
        <f t="shared" si="4"/>
        <v>50.49610746450923</v>
      </c>
      <c r="U16" s="677">
        <f t="shared" si="5"/>
        <v>4460</v>
      </c>
      <c r="V16" s="677">
        <f>U16/F16*100</f>
        <v>68.081208975728899</v>
      </c>
    </row>
    <row r="17" spans="1:38" ht="33" customHeight="1" x14ac:dyDescent="0.35">
      <c r="A17" s="544"/>
      <c r="B17" s="110">
        <v>8</v>
      </c>
      <c r="C17" s="335"/>
      <c r="D17" s="665" t="s">
        <v>220</v>
      </c>
      <c r="E17" s="675">
        <v>6</v>
      </c>
      <c r="F17" s="110">
        <f>F52</f>
        <v>2766</v>
      </c>
      <c r="G17" s="110">
        <v>6</v>
      </c>
      <c r="H17" s="305">
        <f t="shared" si="0"/>
        <v>100</v>
      </c>
      <c r="I17" s="685">
        <f>I52</f>
        <v>2766</v>
      </c>
      <c r="J17" s="677">
        <f t="shared" si="11"/>
        <v>100</v>
      </c>
      <c r="K17" s="685">
        <f>K52</f>
        <v>1950</v>
      </c>
      <c r="L17" s="305">
        <f>K17/F17*100</f>
        <v>70.498915401301517</v>
      </c>
      <c r="M17" s="305">
        <f>M52</f>
        <v>1754</v>
      </c>
      <c r="N17" s="679">
        <f>M17/F17*100</f>
        <v>63.41287057122198</v>
      </c>
      <c r="O17" s="305">
        <f>O52</f>
        <v>1178.4414326836861</v>
      </c>
      <c r="P17" s="305">
        <f>O17/F17*100</f>
        <v>42.604534804182428</v>
      </c>
      <c r="Q17" s="630">
        <f>Q52</f>
        <v>0</v>
      </c>
      <c r="R17" s="630">
        <f>Q17/E17*100</f>
        <v>0</v>
      </c>
      <c r="S17" s="100">
        <f>S52</f>
        <v>0</v>
      </c>
      <c r="T17" s="100">
        <f t="shared" si="4"/>
        <v>0</v>
      </c>
      <c r="U17" s="677">
        <f t="shared" si="5"/>
        <v>1529.6882865367372</v>
      </c>
      <c r="V17" s="677">
        <f t="shared" si="6"/>
        <v>55.303264155341189</v>
      </c>
    </row>
    <row r="18" spans="1:38" ht="33" customHeight="1" x14ac:dyDescent="0.35">
      <c r="A18" s="544"/>
      <c r="B18" s="110">
        <v>9</v>
      </c>
      <c r="C18" s="335" t="s">
        <v>215</v>
      </c>
      <c r="D18" s="665" t="s">
        <v>221</v>
      </c>
      <c r="E18" s="675">
        <v>7</v>
      </c>
      <c r="F18" s="305">
        <f>F60</f>
        <v>2039</v>
      </c>
      <c r="G18" s="110">
        <v>7</v>
      </c>
      <c r="H18" s="305">
        <f t="shared" si="0"/>
        <v>100</v>
      </c>
      <c r="I18" s="685">
        <f>I60</f>
        <v>1266</v>
      </c>
      <c r="J18" s="677">
        <f t="shared" si="11"/>
        <v>62.089259440902403</v>
      </c>
      <c r="K18" s="685">
        <f>K60</f>
        <v>1625</v>
      </c>
      <c r="L18" s="305">
        <f>K18/F18*100</f>
        <v>79.69592937714566</v>
      </c>
      <c r="M18" s="305">
        <f>M60</f>
        <v>1518</v>
      </c>
      <c r="N18" s="679">
        <f>M18/F18*100</f>
        <v>74.448258950465913</v>
      </c>
      <c r="O18" s="110">
        <f>O60</f>
        <v>706</v>
      </c>
      <c r="P18" s="305">
        <f>O18/F18*100</f>
        <v>34.624816086316827</v>
      </c>
      <c r="Q18" s="630">
        <v>0</v>
      </c>
      <c r="R18" s="630">
        <f>Q18/E18*100</f>
        <v>0</v>
      </c>
      <c r="S18" s="305">
        <f>S60</f>
        <v>1266</v>
      </c>
      <c r="T18" s="305">
        <f t="shared" si="4"/>
        <v>62.089259440902403</v>
      </c>
      <c r="U18" s="677">
        <f t="shared" si="5"/>
        <v>1276.2</v>
      </c>
      <c r="V18" s="677">
        <f t="shared" si="6"/>
        <v>62.589504659146641</v>
      </c>
    </row>
    <row r="19" spans="1:38" ht="33" customHeight="1" x14ac:dyDescent="0.35">
      <c r="A19" s="544"/>
      <c r="B19" s="110">
        <v>10</v>
      </c>
      <c r="C19" s="335" t="s">
        <v>167</v>
      </c>
      <c r="D19" s="665" t="s">
        <v>222</v>
      </c>
      <c r="E19" s="675">
        <v>10</v>
      </c>
      <c r="F19" s="686">
        <f>F143</f>
        <v>1878</v>
      </c>
      <c r="G19" s="110">
        <v>6</v>
      </c>
      <c r="H19" s="305">
        <f t="shared" si="0"/>
        <v>60</v>
      </c>
      <c r="I19" s="685">
        <f>I143</f>
        <v>561</v>
      </c>
      <c r="J19" s="677">
        <f t="shared" si="11"/>
        <v>29.87220447284345</v>
      </c>
      <c r="K19" s="685">
        <f>K143</f>
        <v>588</v>
      </c>
      <c r="L19" s="305">
        <f>K19/F19*100</f>
        <v>31.309904153354633</v>
      </c>
      <c r="M19" s="305">
        <f>M143</f>
        <v>1267</v>
      </c>
      <c r="N19" s="679">
        <f>M19/F19*100</f>
        <v>67.465388711395107</v>
      </c>
      <c r="O19" s="686">
        <f>O143</f>
        <v>1041</v>
      </c>
      <c r="P19" s="305">
        <f>O19/F19*100</f>
        <v>55.431309904153359</v>
      </c>
      <c r="Q19" s="630">
        <v>0</v>
      </c>
      <c r="R19" s="630">
        <f>Q19/E19*100</f>
        <v>0</v>
      </c>
      <c r="S19" s="305">
        <f>S143</f>
        <v>830</v>
      </c>
      <c r="T19" s="305">
        <f t="shared" si="4"/>
        <v>44.195953141640047</v>
      </c>
      <c r="U19" s="677">
        <f t="shared" si="5"/>
        <v>857.4</v>
      </c>
      <c r="V19" s="677">
        <f t="shared" si="6"/>
        <v>45.654952076677311</v>
      </c>
    </row>
    <row r="20" spans="1:38" ht="33" customHeight="1" x14ac:dyDescent="0.35">
      <c r="A20" s="544"/>
      <c r="B20" s="110">
        <v>11</v>
      </c>
      <c r="C20" s="335" t="s">
        <v>190</v>
      </c>
      <c r="D20" s="665" t="s">
        <v>152</v>
      </c>
      <c r="E20" s="675">
        <v>11</v>
      </c>
      <c r="F20" s="110">
        <f>F132</f>
        <v>1987</v>
      </c>
      <c r="G20" s="110">
        <v>7</v>
      </c>
      <c r="H20" s="305">
        <f t="shared" si="0"/>
        <v>63.636363636363633</v>
      </c>
      <c r="I20" s="685">
        <f>I132</f>
        <v>287</v>
      </c>
      <c r="J20" s="677">
        <f t="shared" si="11"/>
        <v>14.44388525415199</v>
      </c>
      <c r="K20" s="685">
        <f>K132</f>
        <v>1987</v>
      </c>
      <c r="L20" s="305">
        <f>K20/F20*100</f>
        <v>100</v>
      </c>
      <c r="M20" s="305">
        <f>M132</f>
        <v>1418</v>
      </c>
      <c r="N20" s="679">
        <f>M20/F20*100</f>
        <v>71.363865123301466</v>
      </c>
      <c r="O20" s="630">
        <f>O132</f>
        <v>0</v>
      </c>
      <c r="P20" s="100">
        <f>O20/F20*100</f>
        <v>0</v>
      </c>
      <c r="Q20" s="630">
        <v>0</v>
      </c>
      <c r="R20" s="630">
        <f>Q20/E20*100</f>
        <v>0</v>
      </c>
      <c r="S20" s="305">
        <f>S132</f>
        <v>342</v>
      </c>
      <c r="T20" s="305">
        <f t="shared" si="4"/>
        <v>17.211877201811777</v>
      </c>
      <c r="U20" s="677">
        <f>(I20+K20+M20+O20+S20)/5</f>
        <v>806.8</v>
      </c>
      <c r="V20" s="677">
        <f t="shared" si="6"/>
        <v>40.603925515853042</v>
      </c>
    </row>
    <row r="21" spans="1:38" s="12" customFormat="1" ht="27.75" customHeight="1" x14ac:dyDescent="0.35">
      <c r="A21" s="666"/>
      <c r="B21" s="667"/>
      <c r="C21" s="718" t="s">
        <v>191</v>
      </c>
      <c r="D21" s="719"/>
      <c r="E21" s="668">
        <f>SUM(E10:E20)</f>
        <v>103</v>
      </c>
      <c r="F21" s="668">
        <f>SUM(F10:F20)</f>
        <v>34604</v>
      </c>
      <c r="G21" s="667">
        <f>SUM(G10:G20)</f>
        <v>91</v>
      </c>
      <c r="H21" s="619">
        <f>G21/E21*100</f>
        <v>88.349514563106794</v>
      </c>
      <c r="I21" s="669">
        <f>SUM(I10:I20)</f>
        <v>25323</v>
      </c>
      <c r="J21" s="619">
        <f t="shared" si="11"/>
        <v>73.179401225291869</v>
      </c>
      <c r="K21" s="669">
        <f>SUM(K10:K20)</f>
        <v>24703</v>
      </c>
      <c r="L21" s="619">
        <f>K21/F21*100</f>
        <v>71.387700843833073</v>
      </c>
      <c r="M21" s="619">
        <f>SUM(M10:M20)</f>
        <v>19004</v>
      </c>
      <c r="N21" s="619">
        <f>M21/F21*100</f>
        <v>54.918506531036869</v>
      </c>
      <c r="O21" s="619">
        <f>SUM(O10:O20)</f>
        <v>9349.441432683685</v>
      </c>
      <c r="P21" s="619">
        <f>O21/F21*100</f>
        <v>27.018383518332229</v>
      </c>
      <c r="Q21" s="667">
        <f>SUM(Q10:Q20)</f>
        <v>166</v>
      </c>
      <c r="R21" s="667">
        <f>Q21/F21*100</f>
        <v>0.47971332793896659</v>
      </c>
      <c r="S21" s="619">
        <f>SUM(S10:S20)</f>
        <v>7580</v>
      </c>
      <c r="T21" s="619">
        <f>S21/F21*100</f>
        <v>21.904982082996185</v>
      </c>
      <c r="U21" s="669">
        <f>SUM(U10:U20)</f>
        <v>18300.488286536736</v>
      </c>
      <c r="V21" s="619">
        <f>U21/F21*100</f>
        <v>52.885470715919361</v>
      </c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3" spans="1:38" x14ac:dyDescent="0.35">
      <c r="F23" s="160"/>
    </row>
    <row r="24" spans="1:38" x14ac:dyDescent="0.35">
      <c r="B24" s="721"/>
      <c r="C24" s="728"/>
      <c r="D24" s="728"/>
      <c r="E24" s="728"/>
      <c r="F24" s="728"/>
      <c r="G24" s="728"/>
      <c r="H24" s="728"/>
      <c r="I24" s="728"/>
      <c r="J24" s="728"/>
      <c r="K24" s="728"/>
      <c r="L24" s="728"/>
      <c r="M24" s="728"/>
      <c r="N24" s="728"/>
      <c r="O24" s="728"/>
      <c r="P24" s="728"/>
      <c r="Q24" s="728"/>
      <c r="R24" s="728"/>
      <c r="S24" s="728"/>
      <c r="T24" s="728"/>
      <c r="U24" s="728"/>
      <c r="V24" s="728"/>
    </row>
    <row r="25" spans="1:38" ht="21" customHeight="1" x14ac:dyDescent="0.35">
      <c r="A25" s="722" t="s">
        <v>0</v>
      </c>
      <c r="B25" s="723"/>
      <c r="C25" s="700" t="s">
        <v>53</v>
      </c>
      <c r="D25" s="700" t="s">
        <v>51</v>
      </c>
      <c r="E25" s="700" t="s">
        <v>54</v>
      </c>
      <c r="F25" s="700" t="s">
        <v>8</v>
      </c>
      <c r="G25" s="730" t="s">
        <v>18</v>
      </c>
      <c r="H25" s="730"/>
      <c r="I25" s="730"/>
      <c r="J25" s="730"/>
      <c r="K25" s="730"/>
      <c r="L25" s="730"/>
      <c r="M25" s="730"/>
      <c r="N25" s="730"/>
      <c r="O25" s="730"/>
      <c r="P25" s="730"/>
      <c r="Q25" s="730"/>
      <c r="R25" s="730"/>
      <c r="S25" s="730"/>
      <c r="T25" s="730"/>
      <c r="U25" s="730"/>
      <c r="V25" s="730"/>
    </row>
    <row r="26" spans="1:38" ht="116.25" customHeight="1" x14ac:dyDescent="0.35">
      <c r="A26" s="724"/>
      <c r="B26" s="725"/>
      <c r="C26" s="700"/>
      <c r="D26" s="700"/>
      <c r="E26" s="700"/>
      <c r="F26" s="700"/>
      <c r="G26" s="700" t="s">
        <v>55</v>
      </c>
      <c r="H26" s="700"/>
      <c r="I26" s="700" t="s">
        <v>19</v>
      </c>
      <c r="J26" s="700"/>
      <c r="K26" s="700" t="s">
        <v>20</v>
      </c>
      <c r="L26" s="700"/>
      <c r="M26" s="700" t="s">
        <v>21</v>
      </c>
      <c r="N26" s="700"/>
      <c r="O26" s="700" t="s">
        <v>22</v>
      </c>
      <c r="P26" s="700"/>
      <c r="Q26" s="700" t="s">
        <v>56</v>
      </c>
      <c r="R26" s="700"/>
      <c r="S26" s="700" t="s">
        <v>23</v>
      </c>
      <c r="T26" s="700"/>
      <c r="U26" s="731" t="s">
        <v>24</v>
      </c>
      <c r="V26" s="731"/>
    </row>
    <row r="27" spans="1:38" ht="32.65" customHeight="1" x14ac:dyDescent="0.35">
      <c r="A27" s="726"/>
      <c r="B27" s="727"/>
      <c r="C27" s="700"/>
      <c r="D27" s="700"/>
      <c r="E27" s="700"/>
      <c r="F27" s="700"/>
      <c r="G27" s="19" t="s">
        <v>2</v>
      </c>
      <c r="H27" s="19" t="s">
        <v>1</v>
      </c>
      <c r="I27" s="19" t="s">
        <v>2</v>
      </c>
      <c r="J27" s="19" t="s">
        <v>1</v>
      </c>
      <c r="K27" s="19" t="s">
        <v>2</v>
      </c>
      <c r="L27" s="19" t="s">
        <v>1</v>
      </c>
      <c r="M27" s="19" t="s">
        <v>2</v>
      </c>
      <c r="N27" s="19" t="s">
        <v>1</v>
      </c>
      <c r="O27" s="19" t="s">
        <v>2</v>
      </c>
      <c r="P27" s="19" t="s">
        <v>1</v>
      </c>
      <c r="Q27" s="19" t="s">
        <v>2</v>
      </c>
      <c r="R27" s="19" t="s">
        <v>1</v>
      </c>
      <c r="S27" s="19" t="s">
        <v>2</v>
      </c>
      <c r="T27" s="19" t="s">
        <v>1</v>
      </c>
      <c r="U27" s="661" t="s">
        <v>2</v>
      </c>
      <c r="V27" s="661" t="s">
        <v>1</v>
      </c>
    </row>
    <row r="28" spans="1:38" s="25" customFormat="1" ht="12" customHeight="1" x14ac:dyDescent="0.25">
      <c r="A28" s="74"/>
      <c r="B28" s="22">
        <v>1</v>
      </c>
      <c r="C28" s="22">
        <v>2</v>
      </c>
      <c r="D28" s="22">
        <v>3</v>
      </c>
      <c r="E28" s="22">
        <v>4</v>
      </c>
      <c r="F28" s="22">
        <v>5</v>
      </c>
      <c r="G28" s="22">
        <v>6</v>
      </c>
      <c r="H28" s="22">
        <v>7</v>
      </c>
      <c r="I28" s="47">
        <v>8</v>
      </c>
      <c r="J28" s="48">
        <v>9</v>
      </c>
      <c r="K28" s="47">
        <v>10</v>
      </c>
      <c r="L28" s="47">
        <v>11</v>
      </c>
      <c r="M28" s="47">
        <v>12</v>
      </c>
      <c r="N28" s="47">
        <v>13</v>
      </c>
      <c r="O28" s="47">
        <v>14</v>
      </c>
      <c r="P28" s="22">
        <v>15</v>
      </c>
      <c r="Q28" s="22">
        <v>16</v>
      </c>
      <c r="R28" s="22">
        <v>17</v>
      </c>
      <c r="S28" s="22">
        <v>18</v>
      </c>
      <c r="T28" s="22">
        <v>19</v>
      </c>
      <c r="U28" s="28">
        <v>20</v>
      </c>
      <c r="V28" s="28">
        <v>21</v>
      </c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1:38" s="53" customFormat="1" ht="21" customHeight="1" x14ac:dyDescent="0.35">
      <c r="A29" s="560">
        <v>1</v>
      </c>
      <c r="B29" s="32">
        <v>1</v>
      </c>
      <c r="C29" s="569" t="s">
        <v>59</v>
      </c>
      <c r="D29" s="110" t="s">
        <v>60</v>
      </c>
      <c r="E29" s="470">
        <v>3</v>
      </c>
      <c r="F29" s="499">
        <v>220</v>
      </c>
      <c r="G29" s="469">
        <v>3</v>
      </c>
      <c r="H29" s="465">
        <f>G29/E29*100</f>
        <v>100</v>
      </c>
      <c r="I29" s="484">
        <v>187</v>
      </c>
      <c r="J29" s="465">
        <f>I29/F29*100</f>
        <v>85</v>
      </c>
      <c r="K29" s="484">
        <v>185</v>
      </c>
      <c r="L29" s="465">
        <f>K29/F29*100</f>
        <v>84.090909090909093</v>
      </c>
      <c r="M29" s="509">
        <v>166</v>
      </c>
      <c r="N29" s="500">
        <f>M29/F29*100</f>
        <v>75.454545454545453</v>
      </c>
      <c r="O29" s="509">
        <v>145</v>
      </c>
      <c r="P29" s="465">
        <f>O29/F29*100</f>
        <v>65.909090909090907</v>
      </c>
      <c r="Q29" s="469">
        <v>1</v>
      </c>
      <c r="R29" s="469">
        <f>Q29/E29*100</f>
        <v>33.333333333333329</v>
      </c>
      <c r="S29" s="465">
        <v>0</v>
      </c>
      <c r="T29" s="501">
        <f>S29/F29*100</f>
        <v>0</v>
      </c>
      <c r="U29" s="465">
        <v>210</v>
      </c>
      <c r="V29" s="459">
        <f>U29/F29*100</f>
        <v>95.454545454545453</v>
      </c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</row>
    <row r="30" spans="1:38" s="53" customFormat="1" ht="21" customHeight="1" x14ac:dyDescent="0.35">
      <c r="A30" s="560"/>
      <c r="B30" s="34">
        <v>2</v>
      </c>
      <c r="C30" s="450"/>
      <c r="D30" s="110" t="s">
        <v>67</v>
      </c>
      <c r="E30" s="470">
        <v>5</v>
      </c>
      <c r="F30" s="499">
        <v>446</v>
      </c>
      <c r="G30" s="469">
        <v>5</v>
      </c>
      <c r="H30" s="465">
        <f t="shared" ref="H30:H35" si="12">G30/E30*100</f>
        <v>100</v>
      </c>
      <c r="I30" s="484">
        <v>464</v>
      </c>
      <c r="J30" s="465">
        <f t="shared" ref="J30:J36" si="13">I30/F30*100</f>
        <v>104.03587443946188</v>
      </c>
      <c r="K30" s="484">
        <v>489</v>
      </c>
      <c r="L30" s="465">
        <f t="shared" ref="L30:L36" si="14">K30/F30*100</f>
        <v>109.64125560538116</v>
      </c>
      <c r="M30" s="509">
        <v>107</v>
      </c>
      <c r="N30" s="500">
        <f t="shared" ref="N30:N35" si="15">M30/F30*100</f>
        <v>23.99103139013453</v>
      </c>
      <c r="O30" s="509">
        <v>112</v>
      </c>
      <c r="P30" s="465">
        <f t="shared" ref="P30:P36" si="16">O30/F30*100</f>
        <v>25.112107623318387</v>
      </c>
      <c r="Q30" s="469">
        <v>1</v>
      </c>
      <c r="R30" s="469">
        <f t="shared" ref="R30:R36" si="17">Q30/E30*100</f>
        <v>20</v>
      </c>
      <c r="S30" s="465">
        <v>0</v>
      </c>
      <c r="T30" s="501">
        <f t="shared" ref="T30:T37" si="18">S30/F30*100</f>
        <v>0</v>
      </c>
      <c r="U30" s="465">
        <v>435</v>
      </c>
      <c r="V30" s="459">
        <f t="shared" ref="V30:V37" si="19">U30/F30*100</f>
        <v>97.533632286995527</v>
      </c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</row>
    <row r="31" spans="1:38" s="53" customFormat="1" ht="21" customHeight="1" x14ac:dyDescent="0.35">
      <c r="A31" s="560"/>
      <c r="B31" s="34">
        <v>3</v>
      </c>
      <c r="C31" s="450"/>
      <c r="D31" s="110" t="s">
        <v>62</v>
      </c>
      <c r="E31" s="470">
        <v>3</v>
      </c>
      <c r="F31" s="499">
        <v>213</v>
      </c>
      <c r="G31" s="469">
        <v>3</v>
      </c>
      <c r="H31" s="465">
        <f t="shared" si="12"/>
        <v>100</v>
      </c>
      <c r="I31" s="484">
        <v>197</v>
      </c>
      <c r="J31" s="465">
        <f t="shared" si="13"/>
        <v>92.488262910798127</v>
      </c>
      <c r="K31" s="484">
        <v>222</v>
      </c>
      <c r="L31" s="465">
        <f t="shared" si="14"/>
        <v>104.22535211267605</v>
      </c>
      <c r="M31" s="509">
        <v>69</v>
      </c>
      <c r="N31" s="500">
        <f t="shared" si="15"/>
        <v>32.394366197183103</v>
      </c>
      <c r="O31" s="484">
        <v>44</v>
      </c>
      <c r="P31" s="465">
        <f t="shared" si="16"/>
        <v>20.657276995305164</v>
      </c>
      <c r="Q31" s="499">
        <v>1</v>
      </c>
      <c r="R31" s="469">
        <f t="shared" si="17"/>
        <v>33.333333333333329</v>
      </c>
      <c r="S31" s="465">
        <v>0</v>
      </c>
      <c r="T31" s="501">
        <f t="shared" si="18"/>
        <v>0</v>
      </c>
      <c r="U31" s="499">
        <v>102</v>
      </c>
      <c r="V31" s="459">
        <f t="shared" si="19"/>
        <v>47.887323943661968</v>
      </c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</row>
    <row r="32" spans="1:38" s="53" customFormat="1" ht="21" customHeight="1" x14ac:dyDescent="0.35">
      <c r="A32" s="560"/>
      <c r="B32" s="34">
        <v>4</v>
      </c>
      <c r="C32" s="450"/>
      <c r="D32" s="110" t="s">
        <v>63</v>
      </c>
      <c r="E32" s="470">
        <v>8</v>
      </c>
      <c r="F32" s="499">
        <v>595</v>
      </c>
      <c r="G32" s="469">
        <v>6</v>
      </c>
      <c r="H32" s="465">
        <f t="shared" si="12"/>
        <v>75</v>
      </c>
      <c r="I32" s="484">
        <v>464</v>
      </c>
      <c r="J32" s="465">
        <f t="shared" si="13"/>
        <v>77.983193277310932</v>
      </c>
      <c r="K32" s="484">
        <v>489</v>
      </c>
      <c r="L32" s="465">
        <f t="shared" si="14"/>
        <v>82.184873949579824</v>
      </c>
      <c r="M32" s="509">
        <v>107</v>
      </c>
      <c r="N32" s="500">
        <f t="shared" si="15"/>
        <v>17.983193277310924</v>
      </c>
      <c r="O32" s="509">
        <v>149</v>
      </c>
      <c r="P32" s="465">
        <f t="shared" si="16"/>
        <v>25.042016806722689</v>
      </c>
      <c r="Q32" s="469">
        <v>1</v>
      </c>
      <c r="R32" s="469">
        <f t="shared" si="17"/>
        <v>12.5</v>
      </c>
      <c r="S32" s="465">
        <v>0</v>
      </c>
      <c r="T32" s="501">
        <f t="shared" si="18"/>
        <v>0</v>
      </c>
      <c r="U32" s="465">
        <v>572</v>
      </c>
      <c r="V32" s="459">
        <f t="shared" si="19"/>
        <v>96.134453781512605</v>
      </c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</row>
    <row r="33" spans="1:38" s="53" customFormat="1" ht="21" customHeight="1" x14ac:dyDescent="0.35">
      <c r="A33" s="560"/>
      <c r="B33" s="34">
        <v>5</v>
      </c>
      <c r="C33" s="450"/>
      <c r="D33" s="110" t="s">
        <v>64</v>
      </c>
      <c r="E33" s="470">
        <v>42</v>
      </c>
      <c r="F33" s="465">
        <v>4052</v>
      </c>
      <c r="G33" s="469">
        <v>38</v>
      </c>
      <c r="H33" s="465">
        <f t="shared" si="12"/>
        <v>90.476190476190482</v>
      </c>
      <c r="I33" s="484">
        <v>3485</v>
      </c>
      <c r="J33" s="465">
        <f t="shared" si="13"/>
        <v>86.006910167818361</v>
      </c>
      <c r="K33" s="555">
        <v>3444</v>
      </c>
      <c r="L33" s="465">
        <f t="shared" si="14"/>
        <v>84.995064165844028</v>
      </c>
      <c r="M33" s="556">
        <v>2634</v>
      </c>
      <c r="N33" s="500">
        <f t="shared" si="15"/>
        <v>65.004935834155972</v>
      </c>
      <c r="O33" s="556">
        <v>2067</v>
      </c>
      <c r="P33" s="465">
        <f t="shared" si="16"/>
        <v>51.011846001974334</v>
      </c>
      <c r="Q33" s="469">
        <v>1</v>
      </c>
      <c r="R33" s="469">
        <f t="shared" si="17"/>
        <v>2.3809523809523809</v>
      </c>
      <c r="S33" s="465">
        <v>0</v>
      </c>
      <c r="T33" s="501">
        <f t="shared" si="18"/>
        <v>0</v>
      </c>
      <c r="U33" s="465">
        <v>3757</v>
      </c>
      <c r="V33" s="459">
        <f t="shared" si="19"/>
        <v>92.719644619940766</v>
      </c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</row>
    <row r="34" spans="1:38" s="53" customFormat="1" ht="21" customHeight="1" x14ac:dyDescent="0.35">
      <c r="A34" s="560"/>
      <c r="B34" s="34">
        <v>6</v>
      </c>
      <c r="C34" s="450"/>
      <c r="D34" s="110" t="s">
        <v>65</v>
      </c>
      <c r="E34" s="470">
        <v>5</v>
      </c>
      <c r="F34" s="469">
        <v>277</v>
      </c>
      <c r="G34" s="469">
        <v>4</v>
      </c>
      <c r="H34" s="465">
        <f t="shared" si="12"/>
        <v>80</v>
      </c>
      <c r="I34" s="484">
        <v>197</v>
      </c>
      <c r="J34" s="465">
        <f t="shared" si="13"/>
        <v>71.119133574007222</v>
      </c>
      <c r="K34" s="484">
        <v>222</v>
      </c>
      <c r="L34" s="465">
        <f t="shared" si="14"/>
        <v>80.144404332129966</v>
      </c>
      <c r="M34" s="509">
        <v>69</v>
      </c>
      <c r="N34" s="500">
        <f t="shared" si="15"/>
        <v>24.909747292418771</v>
      </c>
      <c r="O34" s="509">
        <v>44</v>
      </c>
      <c r="P34" s="465">
        <f t="shared" si="16"/>
        <v>15.884476534296029</v>
      </c>
      <c r="Q34" s="469">
        <v>1</v>
      </c>
      <c r="R34" s="469">
        <f t="shared" si="17"/>
        <v>20</v>
      </c>
      <c r="S34" s="465">
        <v>0</v>
      </c>
      <c r="T34" s="501">
        <f t="shared" si="18"/>
        <v>0</v>
      </c>
      <c r="U34" s="469">
        <v>252</v>
      </c>
      <c r="V34" s="459">
        <f t="shared" si="19"/>
        <v>90.974729241877256</v>
      </c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</row>
    <row r="35" spans="1:38" s="53" customFormat="1" ht="21" customHeight="1" x14ac:dyDescent="0.35">
      <c r="A35" s="560"/>
      <c r="B35" s="34">
        <v>7</v>
      </c>
      <c r="C35" s="450"/>
      <c r="D35" s="110" t="s">
        <v>68</v>
      </c>
      <c r="E35" s="470">
        <v>6</v>
      </c>
      <c r="F35" s="499">
        <v>452</v>
      </c>
      <c r="G35" s="469">
        <v>4</v>
      </c>
      <c r="H35" s="465">
        <f t="shared" si="12"/>
        <v>66.666666666666657</v>
      </c>
      <c r="I35" s="484">
        <v>353</v>
      </c>
      <c r="J35" s="465">
        <f t="shared" si="13"/>
        <v>78.097345132743371</v>
      </c>
      <c r="K35" s="484">
        <v>365</v>
      </c>
      <c r="L35" s="465">
        <f t="shared" si="14"/>
        <v>80.752212389380531</v>
      </c>
      <c r="M35" s="509">
        <v>215</v>
      </c>
      <c r="N35" s="500">
        <f t="shared" si="15"/>
        <v>47.56637168141593</v>
      </c>
      <c r="O35" s="509">
        <v>109</v>
      </c>
      <c r="P35" s="465">
        <f t="shared" si="16"/>
        <v>24.115044247787608</v>
      </c>
      <c r="Q35" s="469">
        <v>0</v>
      </c>
      <c r="R35" s="469">
        <f t="shared" si="17"/>
        <v>0</v>
      </c>
      <c r="S35" s="465">
        <v>0</v>
      </c>
      <c r="T35" s="501">
        <f t="shared" si="18"/>
        <v>0</v>
      </c>
      <c r="U35" s="465">
        <v>392</v>
      </c>
      <c r="V35" s="459">
        <f t="shared" si="19"/>
        <v>86.725663716814154</v>
      </c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</row>
    <row r="36" spans="1:38" s="53" customFormat="1" ht="21" customHeight="1" x14ac:dyDescent="0.35">
      <c r="A36" s="560"/>
      <c r="B36" s="34">
        <v>8</v>
      </c>
      <c r="C36" s="450"/>
      <c r="D36" s="110" t="s">
        <v>66</v>
      </c>
      <c r="E36" s="470">
        <v>5</v>
      </c>
      <c r="F36" s="469">
        <v>216</v>
      </c>
      <c r="G36" s="469">
        <v>2</v>
      </c>
      <c r="H36" s="465">
        <f>G36/E36*100</f>
        <v>40</v>
      </c>
      <c r="I36" s="484">
        <v>151</v>
      </c>
      <c r="J36" s="465">
        <f t="shared" si="13"/>
        <v>69.907407407407405</v>
      </c>
      <c r="K36" s="484">
        <v>173</v>
      </c>
      <c r="L36" s="465">
        <f t="shared" si="14"/>
        <v>80.092592592592595</v>
      </c>
      <c r="M36" s="509">
        <v>54</v>
      </c>
      <c r="N36" s="500">
        <f>M36/F36*100</f>
        <v>25</v>
      </c>
      <c r="O36" s="509">
        <v>32</v>
      </c>
      <c r="P36" s="465">
        <f t="shared" si="16"/>
        <v>14.814814814814813</v>
      </c>
      <c r="Q36" s="469">
        <v>0</v>
      </c>
      <c r="R36" s="469">
        <f t="shared" si="17"/>
        <v>0</v>
      </c>
      <c r="S36" s="465">
        <v>0</v>
      </c>
      <c r="T36" s="501">
        <f t="shared" si="18"/>
        <v>0</v>
      </c>
      <c r="U36" s="465">
        <v>25</v>
      </c>
      <c r="V36" s="459">
        <f t="shared" si="19"/>
        <v>11.574074074074074</v>
      </c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</row>
    <row r="37" spans="1:38" s="53" customFormat="1" ht="21" customHeight="1" x14ac:dyDescent="0.35">
      <c r="A37" s="561"/>
      <c r="B37" s="95"/>
      <c r="C37" s="510" t="s">
        <v>2</v>
      </c>
      <c r="D37" s="541">
        <v>8</v>
      </c>
      <c r="E37" s="553">
        <f>SUM(E29:E36)</f>
        <v>77</v>
      </c>
      <c r="F37" s="553">
        <f>SUM(F29:F36)</f>
        <v>6471</v>
      </c>
      <c r="G37" s="553">
        <f>SUM(G29:G36)</f>
        <v>65</v>
      </c>
      <c r="H37" s="483">
        <f>G37/E37*100</f>
        <v>84.415584415584405</v>
      </c>
      <c r="I37" s="511">
        <f>SUM(I29:I36)</f>
        <v>5498</v>
      </c>
      <c r="J37" s="483">
        <f>I37/F37*100</f>
        <v>84.963684129191776</v>
      </c>
      <c r="K37" s="511">
        <f>SUM(K29:K36)</f>
        <v>5589</v>
      </c>
      <c r="L37" s="483">
        <f>K37/F37*100</f>
        <v>86.369958275382473</v>
      </c>
      <c r="M37" s="554">
        <f>SUM(M29:M36)</f>
        <v>3421</v>
      </c>
      <c r="N37" s="513">
        <f>M37/F37*100</f>
        <v>52.866635759542582</v>
      </c>
      <c r="O37" s="554">
        <f>SUM(O29)</f>
        <v>145</v>
      </c>
      <c r="P37" s="483">
        <f>O37/F37*100</f>
        <v>2.2407664966774843</v>
      </c>
      <c r="Q37" s="514">
        <f>SUM(Q29:Q36)</f>
        <v>6</v>
      </c>
      <c r="R37" s="514">
        <f>Q37/F37*100</f>
        <v>9.272137227630968E-2</v>
      </c>
      <c r="S37" s="483">
        <f>SUM(S29:S36)</f>
        <v>0</v>
      </c>
      <c r="T37" s="516">
        <f t="shared" si="18"/>
        <v>0</v>
      </c>
      <c r="U37" s="514"/>
      <c r="V37" s="557">
        <f t="shared" si="19"/>
        <v>0</v>
      </c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</row>
    <row r="38" spans="1:38" s="53" customFormat="1" ht="21" customHeight="1" x14ac:dyDescent="0.35">
      <c r="A38" s="562">
        <v>2</v>
      </c>
      <c r="B38" s="32">
        <v>1</v>
      </c>
      <c r="C38" s="570" t="s">
        <v>69</v>
      </c>
      <c r="D38" s="464" t="s">
        <v>70</v>
      </c>
      <c r="E38" s="528">
        <v>2</v>
      </c>
      <c r="F38" s="529">
        <v>120</v>
      </c>
      <c r="G38" s="469">
        <v>2</v>
      </c>
      <c r="H38" s="465">
        <v>100</v>
      </c>
      <c r="I38" s="469">
        <v>105</v>
      </c>
      <c r="J38" s="465">
        <v>100</v>
      </c>
      <c r="K38" s="469">
        <v>124</v>
      </c>
      <c r="L38" s="465">
        <v>100</v>
      </c>
      <c r="M38" s="578">
        <v>109</v>
      </c>
      <c r="N38" s="500">
        <v>87.903225806451616</v>
      </c>
      <c r="O38" s="529">
        <v>35</v>
      </c>
      <c r="P38" s="465">
        <v>28.225806451612907</v>
      </c>
      <c r="Q38" s="529">
        <v>0</v>
      </c>
      <c r="R38" s="469">
        <v>0</v>
      </c>
      <c r="S38" s="578">
        <v>109</v>
      </c>
      <c r="T38" s="501">
        <v>87.903225806451616</v>
      </c>
      <c r="U38" s="578"/>
      <c r="V38" s="465">
        <v>0</v>
      </c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</row>
    <row r="39" spans="1:38" s="53" customFormat="1" ht="21" customHeight="1" x14ac:dyDescent="0.35">
      <c r="A39" s="560"/>
      <c r="B39" s="34">
        <v>2</v>
      </c>
      <c r="C39" s="571"/>
      <c r="D39" s="464" t="s">
        <v>71</v>
      </c>
      <c r="E39" s="528">
        <v>4</v>
      </c>
      <c r="F39" s="529">
        <v>190</v>
      </c>
      <c r="G39" s="469">
        <v>4</v>
      </c>
      <c r="H39" s="465">
        <v>100</v>
      </c>
      <c r="I39" s="469">
        <v>155</v>
      </c>
      <c r="J39" s="465">
        <v>100</v>
      </c>
      <c r="K39" s="469">
        <v>190</v>
      </c>
      <c r="L39" s="465">
        <v>100</v>
      </c>
      <c r="M39" s="578">
        <v>135</v>
      </c>
      <c r="N39" s="500">
        <v>71.05263157894737</v>
      </c>
      <c r="O39" s="529">
        <v>38</v>
      </c>
      <c r="P39" s="465">
        <v>20</v>
      </c>
      <c r="Q39" s="529">
        <v>0</v>
      </c>
      <c r="R39" s="469">
        <v>0</v>
      </c>
      <c r="S39" s="578">
        <v>132</v>
      </c>
      <c r="T39" s="501">
        <v>69.473684210526315</v>
      </c>
      <c r="U39" s="529"/>
      <c r="V39" s="465">
        <v>0</v>
      </c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</row>
    <row r="40" spans="1:38" s="53" customFormat="1" ht="21" customHeight="1" x14ac:dyDescent="0.35">
      <c r="A40" s="560"/>
      <c r="B40" s="34">
        <v>3</v>
      </c>
      <c r="C40" s="571">
        <f>SUM('[1]79'!B20)</f>
        <v>0</v>
      </c>
      <c r="D40" s="464" t="s">
        <v>72</v>
      </c>
      <c r="E40" s="528">
        <v>10</v>
      </c>
      <c r="F40" s="529">
        <v>490</v>
      </c>
      <c r="G40" s="469">
        <v>9</v>
      </c>
      <c r="H40" s="465">
        <v>90</v>
      </c>
      <c r="I40" s="469">
        <v>430</v>
      </c>
      <c r="J40" s="465">
        <v>100</v>
      </c>
      <c r="K40" s="469">
        <v>650</v>
      </c>
      <c r="L40" s="465">
        <v>100</v>
      </c>
      <c r="M40" s="578">
        <v>461</v>
      </c>
      <c r="N40" s="500">
        <v>70.92307692307692</v>
      </c>
      <c r="O40" s="529">
        <v>93</v>
      </c>
      <c r="P40" s="465">
        <v>14.307692307692307</v>
      </c>
      <c r="Q40" s="529">
        <v>0</v>
      </c>
      <c r="R40" s="469">
        <v>0</v>
      </c>
      <c r="S40" s="578">
        <v>461</v>
      </c>
      <c r="T40" s="501">
        <v>70.92307692307692</v>
      </c>
      <c r="U40" s="529"/>
      <c r="V40" s="465">
        <v>0</v>
      </c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</row>
    <row r="41" spans="1:38" s="53" customFormat="1" ht="21" customHeight="1" x14ac:dyDescent="0.35">
      <c r="A41" s="560"/>
      <c r="B41" s="34">
        <v>4</v>
      </c>
      <c r="C41" s="571">
        <f>SUM('[1]79'!B21)</f>
        <v>0</v>
      </c>
      <c r="D41" s="464" t="s">
        <v>73</v>
      </c>
      <c r="E41" s="528">
        <v>4</v>
      </c>
      <c r="F41" s="529">
        <v>212</v>
      </c>
      <c r="G41" s="469">
        <v>4</v>
      </c>
      <c r="H41" s="465">
        <v>100</v>
      </c>
      <c r="I41" s="469">
        <v>167</v>
      </c>
      <c r="J41" s="465">
        <v>100</v>
      </c>
      <c r="K41" s="469">
        <v>201</v>
      </c>
      <c r="L41" s="465">
        <v>100</v>
      </c>
      <c r="M41" s="578">
        <v>136</v>
      </c>
      <c r="N41" s="500">
        <v>67.661691542288565</v>
      </c>
      <c r="O41" s="529">
        <v>36</v>
      </c>
      <c r="P41" s="465">
        <v>17.910447761194028</v>
      </c>
      <c r="Q41" s="529">
        <v>0</v>
      </c>
      <c r="R41" s="469">
        <v>0</v>
      </c>
      <c r="S41" s="578">
        <v>136</v>
      </c>
      <c r="T41" s="501">
        <v>67.661691542288565</v>
      </c>
      <c r="U41" s="529"/>
      <c r="V41" s="465">
        <v>0</v>
      </c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</row>
    <row r="42" spans="1:38" s="53" customFormat="1" ht="21" customHeight="1" x14ac:dyDescent="0.35">
      <c r="A42" s="560"/>
      <c r="B42" s="34">
        <v>5</v>
      </c>
      <c r="C42" s="571">
        <f>SUM('[1]79'!B22)</f>
        <v>0</v>
      </c>
      <c r="D42" s="464" t="s">
        <v>74</v>
      </c>
      <c r="E42" s="528">
        <v>2</v>
      </c>
      <c r="F42" s="529">
        <v>66</v>
      </c>
      <c r="G42" s="469">
        <v>2</v>
      </c>
      <c r="H42" s="465">
        <v>100</v>
      </c>
      <c r="I42" s="469">
        <v>53</v>
      </c>
      <c r="J42" s="465">
        <v>100</v>
      </c>
      <c r="K42" s="469">
        <v>65</v>
      </c>
      <c r="L42" s="465">
        <v>100</v>
      </c>
      <c r="M42" s="578">
        <v>49</v>
      </c>
      <c r="N42" s="500">
        <v>75.384615384615387</v>
      </c>
      <c r="O42" s="529">
        <v>16</v>
      </c>
      <c r="P42" s="465">
        <v>24.615384615384617</v>
      </c>
      <c r="Q42" s="529">
        <v>0</v>
      </c>
      <c r="R42" s="469">
        <v>0</v>
      </c>
      <c r="S42" s="578">
        <v>49</v>
      </c>
      <c r="T42" s="501">
        <v>75.384615384615387</v>
      </c>
      <c r="U42" s="529"/>
      <c r="V42" s="465">
        <v>0</v>
      </c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</row>
    <row r="43" spans="1:38" s="53" customFormat="1" ht="21" customHeight="1" x14ac:dyDescent="0.35">
      <c r="A43" s="560"/>
      <c r="B43" s="34">
        <v>6</v>
      </c>
      <c r="C43" s="571">
        <f>SUM('[1]79'!B23)</f>
        <v>0</v>
      </c>
      <c r="D43" s="464" t="s">
        <v>75</v>
      </c>
      <c r="E43" s="528">
        <v>9</v>
      </c>
      <c r="F43" s="529">
        <v>282</v>
      </c>
      <c r="G43" s="469">
        <v>9</v>
      </c>
      <c r="H43" s="465">
        <v>100</v>
      </c>
      <c r="I43" s="469">
        <v>225</v>
      </c>
      <c r="J43" s="465">
        <v>100</v>
      </c>
      <c r="K43" s="469">
        <v>329</v>
      </c>
      <c r="L43" s="465">
        <v>100</v>
      </c>
      <c r="M43" s="578">
        <v>235</v>
      </c>
      <c r="N43" s="500">
        <v>71.428571428571431</v>
      </c>
      <c r="O43" s="529">
        <v>99</v>
      </c>
      <c r="P43" s="465">
        <v>30.091185410334347</v>
      </c>
      <c r="Q43" s="529">
        <v>0</v>
      </c>
      <c r="R43" s="469">
        <v>0</v>
      </c>
      <c r="S43" s="578">
        <v>235</v>
      </c>
      <c r="T43" s="501">
        <v>71.428571428571431</v>
      </c>
      <c r="U43" s="529"/>
      <c r="V43" s="465">
        <v>0</v>
      </c>
      <c r="W43" s="30"/>
      <c r="X43" s="30">
        <f>(M43+M44)/(F43+F44)*100</f>
        <v>79.287305122494431</v>
      </c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</row>
    <row r="44" spans="1:38" s="53" customFormat="1" ht="21" customHeight="1" x14ac:dyDescent="0.35">
      <c r="A44" s="560"/>
      <c r="B44" s="34">
        <v>7</v>
      </c>
      <c r="C44" s="571">
        <f>SUM('[1]79'!B24)</f>
        <v>0</v>
      </c>
      <c r="D44" s="464" t="s">
        <v>76</v>
      </c>
      <c r="E44" s="528">
        <v>4</v>
      </c>
      <c r="F44" s="529">
        <v>167</v>
      </c>
      <c r="G44" s="469">
        <v>4</v>
      </c>
      <c r="H44" s="465">
        <v>100</v>
      </c>
      <c r="I44" s="469">
        <v>127</v>
      </c>
      <c r="J44" s="465">
        <v>100</v>
      </c>
      <c r="K44" s="469">
        <v>169</v>
      </c>
      <c r="L44" s="465">
        <v>100</v>
      </c>
      <c r="M44" s="578">
        <v>121</v>
      </c>
      <c r="N44" s="500">
        <v>71.597633136094672</v>
      </c>
      <c r="O44" s="529">
        <v>56</v>
      </c>
      <c r="P44" s="465">
        <v>33.136094674556219</v>
      </c>
      <c r="Q44" s="529">
        <v>0</v>
      </c>
      <c r="R44" s="469">
        <v>0</v>
      </c>
      <c r="S44" s="578">
        <v>121</v>
      </c>
      <c r="T44" s="501">
        <v>71.597633136094672</v>
      </c>
      <c r="U44" s="529"/>
      <c r="V44" s="465">
        <v>0</v>
      </c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</row>
    <row r="45" spans="1:38" s="53" customFormat="1" ht="21" customHeight="1" x14ac:dyDescent="0.35">
      <c r="A45" s="561"/>
      <c r="B45" s="95"/>
      <c r="C45" s="153" t="s">
        <v>2</v>
      </c>
      <c r="D45" s="95">
        <v>7</v>
      </c>
      <c r="E45" s="147">
        <f>SUM(E38:E44)</f>
        <v>35</v>
      </c>
      <c r="F45" s="149">
        <f>SUM(F38:F44)</f>
        <v>1527</v>
      </c>
      <c r="G45" s="156">
        <f t="shared" ref="G45:V45" si="20">SUM(G38:G44)</f>
        <v>34</v>
      </c>
      <c r="H45" s="156">
        <f>G45/F45*100</f>
        <v>2.226588081204977</v>
      </c>
      <c r="I45" s="149">
        <f t="shared" si="20"/>
        <v>1262</v>
      </c>
      <c r="J45" s="149">
        <f>I45/F45*100</f>
        <v>82.645710543549441</v>
      </c>
      <c r="K45" s="149">
        <f t="shared" si="20"/>
        <v>1728</v>
      </c>
      <c r="L45" s="149">
        <f>K45/F45*100</f>
        <v>113.16306483300589</v>
      </c>
      <c r="M45" s="149">
        <f t="shared" si="20"/>
        <v>1246</v>
      </c>
      <c r="N45" s="149">
        <f>M45/F45*100</f>
        <v>81.597904387688274</v>
      </c>
      <c r="O45" s="149">
        <f t="shared" si="20"/>
        <v>373</v>
      </c>
      <c r="P45" s="149">
        <f>O45/F45*100</f>
        <v>24.426981008513422</v>
      </c>
      <c r="Q45" s="149">
        <f t="shared" si="20"/>
        <v>0</v>
      </c>
      <c r="R45" s="149">
        <f>Q45/F45*100</f>
        <v>0</v>
      </c>
      <c r="S45" s="149">
        <f t="shared" si="20"/>
        <v>1243</v>
      </c>
      <c r="T45" s="149">
        <f t="shared" si="20"/>
        <v>514.37249843162499</v>
      </c>
      <c r="U45" s="149">
        <f t="shared" si="20"/>
        <v>0</v>
      </c>
      <c r="V45" s="149">
        <f t="shared" si="20"/>
        <v>0</v>
      </c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</row>
    <row r="46" spans="1:38" s="57" customFormat="1" ht="21" customHeight="1" x14ac:dyDescent="0.35">
      <c r="A46" s="52">
        <v>3</v>
      </c>
      <c r="B46" s="32">
        <v>1</v>
      </c>
      <c r="C46" s="569" t="s">
        <v>77</v>
      </c>
      <c r="D46" s="335" t="s">
        <v>78</v>
      </c>
      <c r="E46" s="469">
        <v>14</v>
      </c>
      <c r="F46" s="465">
        <v>912</v>
      </c>
      <c r="G46" s="479">
        <v>14</v>
      </c>
      <c r="H46" s="479">
        <v>100</v>
      </c>
      <c r="I46" s="469">
        <v>912</v>
      </c>
      <c r="J46" s="479">
        <f>I46/F46*100</f>
        <v>100</v>
      </c>
      <c r="K46" s="479">
        <v>718</v>
      </c>
      <c r="L46" s="479">
        <f>K46/F46*100</f>
        <v>78.728070175438589</v>
      </c>
      <c r="M46" s="479">
        <v>674</v>
      </c>
      <c r="N46" s="480">
        <f>M46/F46*100</f>
        <v>73.903508771929822</v>
      </c>
      <c r="O46" s="479">
        <v>314</v>
      </c>
      <c r="P46" s="480">
        <f>O46/F46*10</f>
        <v>3.442982456140351</v>
      </c>
      <c r="Q46" s="479">
        <v>0</v>
      </c>
      <c r="R46" s="479">
        <v>0</v>
      </c>
      <c r="S46" s="479">
        <v>0</v>
      </c>
      <c r="T46" s="479">
        <v>0</v>
      </c>
      <c r="U46" s="479">
        <v>0</v>
      </c>
      <c r="V46" s="479">
        <v>0</v>
      </c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</row>
    <row r="47" spans="1:38" s="57" customFormat="1" ht="21" customHeight="1" x14ac:dyDescent="0.35">
      <c r="A47" s="52"/>
      <c r="B47" s="34">
        <v>2</v>
      </c>
      <c r="C47" s="450"/>
      <c r="D47" s="335" t="s">
        <v>79</v>
      </c>
      <c r="E47" s="479">
        <v>5</v>
      </c>
      <c r="F47" s="465">
        <v>281</v>
      </c>
      <c r="G47" s="479">
        <v>5</v>
      </c>
      <c r="H47" s="479">
        <v>100</v>
      </c>
      <c r="I47" s="479">
        <v>281</v>
      </c>
      <c r="J47" s="479">
        <f t="shared" ref="J47:J52" si="21">I47/F47*100</f>
        <v>100</v>
      </c>
      <c r="K47" s="479">
        <v>122</v>
      </c>
      <c r="L47" s="479">
        <f t="shared" ref="L47:L52" si="22">K47/F47*100</f>
        <v>43.416370106761562</v>
      </c>
      <c r="M47" s="479">
        <v>104</v>
      </c>
      <c r="N47" s="480">
        <f t="shared" ref="N47:N52" si="23">M47/F47*100</f>
        <v>37.010676156583628</v>
      </c>
      <c r="O47" s="479">
        <v>46</v>
      </c>
      <c r="P47" s="480">
        <f t="shared" ref="P47:P51" si="24">O47/F47*10</f>
        <v>1.6370106761565837</v>
      </c>
      <c r="Q47" s="479">
        <v>0</v>
      </c>
      <c r="R47" s="479">
        <v>0</v>
      </c>
      <c r="S47" s="479">
        <v>0</v>
      </c>
      <c r="T47" s="479">
        <v>0</v>
      </c>
      <c r="U47" s="479">
        <v>0</v>
      </c>
      <c r="V47" s="479">
        <v>0</v>
      </c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</row>
    <row r="48" spans="1:38" s="57" customFormat="1" ht="21" customHeight="1" x14ac:dyDescent="0.35">
      <c r="A48" s="52"/>
      <c r="B48" s="34">
        <v>3</v>
      </c>
      <c r="C48" s="450"/>
      <c r="D48" s="335" t="s">
        <v>80</v>
      </c>
      <c r="E48" s="479">
        <v>3</v>
      </c>
      <c r="F48" s="465">
        <v>170</v>
      </c>
      <c r="G48" s="479">
        <v>3</v>
      </c>
      <c r="H48" s="479">
        <v>100</v>
      </c>
      <c r="I48" s="479">
        <v>170</v>
      </c>
      <c r="J48" s="479">
        <f t="shared" si="21"/>
        <v>100</v>
      </c>
      <c r="K48" s="479">
        <v>80</v>
      </c>
      <c r="L48" s="479">
        <f t="shared" si="22"/>
        <v>47.058823529411761</v>
      </c>
      <c r="M48" s="479">
        <v>102</v>
      </c>
      <c r="N48" s="480">
        <f t="shared" si="23"/>
        <v>60</v>
      </c>
      <c r="O48" s="479">
        <v>33</v>
      </c>
      <c r="P48" s="480">
        <f t="shared" si="24"/>
        <v>1.9411764705882353</v>
      </c>
      <c r="Q48" s="479">
        <v>0</v>
      </c>
      <c r="R48" s="479">
        <v>0</v>
      </c>
      <c r="S48" s="479">
        <v>0</v>
      </c>
      <c r="T48" s="479">
        <v>0</v>
      </c>
      <c r="U48" s="479">
        <v>0</v>
      </c>
      <c r="V48" s="479">
        <v>0</v>
      </c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</row>
    <row r="49" spans="1:38" s="57" customFormat="1" ht="21" customHeight="1" x14ac:dyDescent="0.35">
      <c r="A49" s="52"/>
      <c r="B49" s="34">
        <v>4</v>
      </c>
      <c r="C49" s="450"/>
      <c r="D49" s="335" t="s">
        <v>81</v>
      </c>
      <c r="E49" s="479">
        <v>4</v>
      </c>
      <c r="F49" s="465">
        <v>274</v>
      </c>
      <c r="G49" s="479">
        <v>4</v>
      </c>
      <c r="H49" s="479">
        <v>100</v>
      </c>
      <c r="I49" s="479">
        <v>274</v>
      </c>
      <c r="J49" s="479">
        <f t="shared" si="21"/>
        <v>100</v>
      </c>
      <c r="K49" s="479">
        <v>143</v>
      </c>
      <c r="L49" s="479">
        <f t="shared" si="22"/>
        <v>52.189781021897808</v>
      </c>
      <c r="M49" s="479">
        <v>120</v>
      </c>
      <c r="N49" s="480">
        <f t="shared" si="23"/>
        <v>43.79562043795621</v>
      </c>
      <c r="O49" s="479">
        <v>55</v>
      </c>
      <c r="P49" s="480">
        <f t="shared" si="24"/>
        <v>2.0072992700729926</v>
      </c>
      <c r="Q49" s="479">
        <v>0</v>
      </c>
      <c r="R49" s="479">
        <v>0</v>
      </c>
      <c r="S49" s="479">
        <v>0</v>
      </c>
      <c r="T49" s="479">
        <v>0</v>
      </c>
      <c r="U49" s="479">
        <v>0</v>
      </c>
      <c r="V49" s="479">
        <v>0</v>
      </c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</row>
    <row r="50" spans="1:38" s="57" customFormat="1" ht="21" customHeight="1" x14ac:dyDescent="0.35">
      <c r="A50" s="52"/>
      <c r="B50" s="34">
        <v>5</v>
      </c>
      <c r="C50" s="450"/>
      <c r="D50" s="335" t="s">
        <v>82</v>
      </c>
      <c r="E50" s="479">
        <v>3</v>
      </c>
      <c r="F50" s="465">
        <v>207</v>
      </c>
      <c r="G50" s="479">
        <v>3</v>
      </c>
      <c r="H50" s="479">
        <v>100</v>
      </c>
      <c r="I50" s="637">
        <v>207</v>
      </c>
      <c r="J50" s="479">
        <f t="shared" si="21"/>
        <v>100</v>
      </c>
      <c r="K50" s="479">
        <v>187</v>
      </c>
      <c r="L50" s="479">
        <f t="shared" si="22"/>
        <v>90.338164251207729</v>
      </c>
      <c r="M50" s="479">
        <v>128</v>
      </c>
      <c r="N50" s="480">
        <f t="shared" si="23"/>
        <v>61.835748792270529</v>
      </c>
      <c r="O50" s="479">
        <v>49</v>
      </c>
      <c r="P50" s="480">
        <f t="shared" si="24"/>
        <v>2.3671497584541061</v>
      </c>
      <c r="Q50" s="479">
        <v>0</v>
      </c>
      <c r="R50" s="479">
        <v>0</v>
      </c>
      <c r="S50" s="479">
        <v>0</v>
      </c>
      <c r="T50" s="479">
        <v>0</v>
      </c>
      <c r="U50" s="479">
        <v>0</v>
      </c>
      <c r="V50" s="479">
        <v>0</v>
      </c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</row>
    <row r="51" spans="1:38" s="57" customFormat="1" ht="21" customHeight="1" x14ac:dyDescent="0.35">
      <c r="A51" s="52"/>
      <c r="B51" s="34">
        <v>6</v>
      </c>
      <c r="C51" s="450"/>
      <c r="D51" s="335" t="s">
        <v>83</v>
      </c>
      <c r="E51" s="479">
        <v>8</v>
      </c>
      <c r="F51" s="465">
        <v>922</v>
      </c>
      <c r="G51" s="479">
        <v>8</v>
      </c>
      <c r="H51" s="479">
        <v>100</v>
      </c>
      <c r="I51" s="499">
        <v>922</v>
      </c>
      <c r="J51" s="479">
        <f t="shared" si="21"/>
        <v>100</v>
      </c>
      <c r="K51" s="479">
        <v>700</v>
      </c>
      <c r="L51" s="479">
        <f t="shared" si="22"/>
        <v>75.921908893709329</v>
      </c>
      <c r="M51" s="479">
        <v>626</v>
      </c>
      <c r="N51" s="480">
        <f t="shared" si="23"/>
        <v>67.895878524945772</v>
      </c>
      <c r="O51" s="479">
        <v>337</v>
      </c>
      <c r="P51" s="480">
        <f t="shared" si="24"/>
        <v>3.6550976138828633</v>
      </c>
      <c r="Q51" s="479">
        <v>0</v>
      </c>
      <c r="R51" s="479">
        <v>0</v>
      </c>
      <c r="S51" s="479">
        <v>0</v>
      </c>
      <c r="T51" s="479">
        <v>0</v>
      </c>
      <c r="U51" s="479">
        <v>0</v>
      </c>
      <c r="V51" s="479">
        <v>0</v>
      </c>
      <c r="W51" s="56"/>
      <c r="X51" s="56" t="e">
        <v>#REF!</v>
      </c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</row>
    <row r="52" spans="1:38" s="57" customFormat="1" ht="21" customHeight="1" x14ac:dyDescent="0.35">
      <c r="A52" s="152"/>
      <c r="B52" s="124"/>
      <c r="C52" s="510" t="s">
        <v>2</v>
      </c>
      <c r="D52" s="124">
        <v>6</v>
      </c>
      <c r="E52" s="514">
        <f>SUM(E46:E51)</f>
        <v>37</v>
      </c>
      <c r="F52" s="514">
        <f t="shared" ref="F52:G52" si="25">SUM(F46:F51)</f>
        <v>2766</v>
      </c>
      <c r="G52" s="514">
        <f t="shared" si="25"/>
        <v>37</v>
      </c>
      <c r="H52" s="514">
        <f>G52/E52*100</f>
        <v>100</v>
      </c>
      <c r="I52" s="514">
        <f>SUM(I46:I51)</f>
        <v>2766</v>
      </c>
      <c r="J52" s="514">
        <f t="shared" si="21"/>
        <v>100</v>
      </c>
      <c r="K52" s="514">
        <f>SUM(K46:K51)</f>
        <v>1950</v>
      </c>
      <c r="L52" s="514">
        <f t="shared" si="22"/>
        <v>70.498915401301517</v>
      </c>
      <c r="M52" s="514">
        <f>SUM(M46:M51)</f>
        <v>1754</v>
      </c>
      <c r="N52" s="483">
        <f t="shared" si="23"/>
        <v>63.41287057122198</v>
      </c>
      <c r="O52" s="483">
        <f>SUM(N46:O51)</f>
        <v>1178.4414326836861</v>
      </c>
      <c r="P52" s="483">
        <f>O52/F52*10</f>
        <v>4.260453480418243</v>
      </c>
      <c r="Q52" s="514">
        <f>SUM(Q46:Q51)</f>
        <v>0</v>
      </c>
      <c r="R52" s="514">
        <f>Q52/E52*100</f>
        <v>0</v>
      </c>
      <c r="S52" s="514">
        <f>SUM(S46:S51)</f>
        <v>0</v>
      </c>
      <c r="T52" s="514">
        <f>S52/F52*100</f>
        <v>0</v>
      </c>
      <c r="U52" s="514"/>
      <c r="V52" s="514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</row>
    <row r="53" spans="1:38" s="53" customFormat="1" ht="21" customHeight="1" x14ac:dyDescent="0.35">
      <c r="A53" s="560">
        <v>4</v>
      </c>
      <c r="B53" s="34">
        <v>1</v>
      </c>
      <c r="C53" s="450" t="s">
        <v>84</v>
      </c>
      <c r="D53" s="469" t="s">
        <v>90</v>
      </c>
      <c r="E53" s="470">
        <v>7</v>
      </c>
      <c r="F53" s="523">
        <v>502</v>
      </c>
      <c r="G53" s="469">
        <v>7</v>
      </c>
      <c r="H53" s="465">
        <f>G53/E53*100</f>
        <v>100</v>
      </c>
      <c r="I53" s="523">
        <v>368</v>
      </c>
      <c r="J53" s="465">
        <f>I53/F53*100</f>
        <v>73.30677290836654</v>
      </c>
      <c r="K53" s="523">
        <v>442</v>
      </c>
      <c r="L53" s="465">
        <f>K53/F53*100</f>
        <v>88.047808764940243</v>
      </c>
      <c r="M53" s="523">
        <v>436</v>
      </c>
      <c r="N53" s="500">
        <f>M53/F53*100</f>
        <v>86.852589641434264</v>
      </c>
      <c r="O53" s="523">
        <v>210</v>
      </c>
      <c r="P53" s="465">
        <f>O53/F53*100</f>
        <v>41.832669322709165</v>
      </c>
      <c r="Q53" s="671">
        <v>210</v>
      </c>
      <c r="R53" s="630">
        <f>Q53/F53*100</f>
        <v>41.832669322709165</v>
      </c>
      <c r="S53" s="523">
        <v>368</v>
      </c>
      <c r="T53" s="501">
        <f>S53/F53*100</f>
        <v>73.30677290836654</v>
      </c>
      <c r="U53" s="479">
        <v>210</v>
      </c>
      <c r="V53" s="535">
        <f>U53/F53*100</f>
        <v>41.832669322709165</v>
      </c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</row>
    <row r="54" spans="1:38" s="53" customFormat="1" ht="21" customHeight="1" x14ac:dyDescent="0.35">
      <c r="A54" s="560"/>
      <c r="B54" s="34">
        <v>2</v>
      </c>
      <c r="C54" s="450"/>
      <c r="D54" s="469" t="s">
        <v>85</v>
      </c>
      <c r="E54" s="470">
        <v>2</v>
      </c>
      <c r="F54" s="523">
        <v>159</v>
      </c>
      <c r="G54" s="469">
        <v>2</v>
      </c>
      <c r="H54" s="465">
        <f t="shared" ref="H54:H60" si="26">G54/E54*100</f>
        <v>100</v>
      </c>
      <c r="I54" s="523">
        <v>95</v>
      </c>
      <c r="J54" s="465">
        <f t="shared" ref="J54:J60" si="27">I54/F54*100</f>
        <v>59.74842767295597</v>
      </c>
      <c r="K54" s="523">
        <v>123</v>
      </c>
      <c r="L54" s="465">
        <f t="shared" ref="L54:L60" si="28">K54/F54*100</f>
        <v>77.358490566037744</v>
      </c>
      <c r="M54" s="523">
        <v>112</v>
      </c>
      <c r="N54" s="500">
        <f t="shared" ref="N54:N60" si="29">M54/F54*100</f>
        <v>70.440251572327043</v>
      </c>
      <c r="O54" s="523">
        <v>49</v>
      </c>
      <c r="P54" s="465">
        <f t="shared" ref="P54:P60" si="30">O54/F54*100</f>
        <v>30.817610062893081</v>
      </c>
      <c r="Q54" s="671">
        <v>49</v>
      </c>
      <c r="R54" s="630">
        <f t="shared" ref="R54:R60" si="31">Q54/F54*100</f>
        <v>30.817610062893081</v>
      </c>
      <c r="S54" s="523">
        <v>95</v>
      </c>
      <c r="T54" s="501">
        <f t="shared" ref="T54:T60" si="32">S54/F54*100</f>
        <v>59.74842767295597</v>
      </c>
      <c r="U54" s="479">
        <v>49</v>
      </c>
      <c r="V54" s="535">
        <f t="shared" ref="V54:V60" si="33">U54/F54*100</f>
        <v>30.817610062893081</v>
      </c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</row>
    <row r="55" spans="1:38" s="53" customFormat="1" ht="21" customHeight="1" x14ac:dyDescent="0.35">
      <c r="A55" s="560"/>
      <c r="B55" s="34">
        <v>3</v>
      </c>
      <c r="C55" s="450"/>
      <c r="D55" s="469" t="s">
        <v>86</v>
      </c>
      <c r="E55" s="470">
        <v>3</v>
      </c>
      <c r="F55" s="523">
        <v>187</v>
      </c>
      <c r="G55" s="469">
        <v>3</v>
      </c>
      <c r="H55" s="465">
        <f t="shared" si="26"/>
        <v>100</v>
      </c>
      <c r="I55" s="523">
        <v>87</v>
      </c>
      <c r="J55" s="465">
        <f t="shared" si="27"/>
        <v>46.524064171122994</v>
      </c>
      <c r="K55" s="523">
        <v>98</v>
      </c>
      <c r="L55" s="465">
        <f t="shared" si="28"/>
        <v>52.406417112299465</v>
      </c>
      <c r="M55" s="523">
        <v>83</v>
      </c>
      <c r="N55" s="500">
        <f t="shared" si="29"/>
        <v>44.385026737967912</v>
      </c>
      <c r="O55" s="523">
        <v>78</v>
      </c>
      <c r="P55" s="465">
        <f t="shared" si="30"/>
        <v>41.711229946524064</v>
      </c>
      <c r="Q55" s="674">
        <v>78</v>
      </c>
      <c r="R55" s="630">
        <f t="shared" si="31"/>
        <v>41.711229946524064</v>
      </c>
      <c r="S55" s="523">
        <v>87</v>
      </c>
      <c r="T55" s="501">
        <f t="shared" si="32"/>
        <v>46.524064171122994</v>
      </c>
      <c r="U55" s="498">
        <v>78</v>
      </c>
      <c r="V55" s="535">
        <f t="shared" si="33"/>
        <v>41.711229946524064</v>
      </c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</row>
    <row r="56" spans="1:38" s="53" customFormat="1" ht="21" customHeight="1" x14ac:dyDescent="0.35">
      <c r="A56" s="560"/>
      <c r="B56" s="34">
        <v>4</v>
      </c>
      <c r="C56" s="450"/>
      <c r="D56" s="469" t="s">
        <v>70</v>
      </c>
      <c r="E56" s="470">
        <v>6</v>
      </c>
      <c r="F56" s="523">
        <v>476</v>
      </c>
      <c r="G56" s="469">
        <v>6</v>
      </c>
      <c r="H56" s="465">
        <f t="shared" si="26"/>
        <v>100</v>
      </c>
      <c r="I56" s="523">
        <v>261</v>
      </c>
      <c r="J56" s="465">
        <f t="shared" si="27"/>
        <v>54.831932773109251</v>
      </c>
      <c r="K56" s="523">
        <v>335</v>
      </c>
      <c r="L56" s="465">
        <f t="shared" si="28"/>
        <v>70.378151260504211</v>
      </c>
      <c r="M56" s="523">
        <v>294</v>
      </c>
      <c r="N56" s="500">
        <f t="shared" si="29"/>
        <v>61.764705882352942</v>
      </c>
      <c r="O56" s="523">
        <v>152</v>
      </c>
      <c r="P56" s="465">
        <f t="shared" si="30"/>
        <v>31.932773109243694</v>
      </c>
      <c r="Q56" s="671">
        <v>152</v>
      </c>
      <c r="R56" s="630">
        <f t="shared" si="31"/>
        <v>31.932773109243694</v>
      </c>
      <c r="S56" s="523">
        <v>261</v>
      </c>
      <c r="T56" s="501">
        <f t="shared" si="32"/>
        <v>54.831932773109251</v>
      </c>
      <c r="U56" s="479">
        <v>152</v>
      </c>
      <c r="V56" s="535">
        <f t="shared" si="33"/>
        <v>31.932773109243694</v>
      </c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</row>
    <row r="57" spans="1:38" s="53" customFormat="1" ht="21" customHeight="1" x14ac:dyDescent="0.35">
      <c r="A57" s="560"/>
      <c r="B57" s="34">
        <v>5</v>
      </c>
      <c r="C57" s="450"/>
      <c r="D57" s="469" t="s">
        <v>87</v>
      </c>
      <c r="E57" s="470">
        <v>5</v>
      </c>
      <c r="F57" s="523">
        <v>334</v>
      </c>
      <c r="G57" s="469">
        <v>5</v>
      </c>
      <c r="H57" s="465">
        <f t="shared" si="26"/>
        <v>100</v>
      </c>
      <c r="I57" s="523">
        <v>218</v>
      </c>
      <c r="J57" s="465">
        <f t="shared" si="27"/>
        <v>65.269461077844312</v>
      </c>
      <c r="K57" s="523">
        <v>302</v>
      </c>
      <c r="L57" s="465">
        <f t="shared" si="28"/>
        <v>90.419161676646709</v>
      </c>
      <c r="M57" s="523">
        <v>273</v>
      </c>
      <c r="N57" s="500">
        <f t="shared" si="29"/>
        <v>81.736526946107773</v>
      </c>
      <c r="O57" s="523">
        <v>102</v>
      </c>
      <c r="P57" s="465">
        <f t="shared" si="30"/>
        <v>30.538922155688624</v>
      </c>
      <c r="Q57" s="671">
        <v>102</v>
      </c>
      <c r="R57" s="630">
        <f t="shared" si="31"/>
        <v>30.538922155688624</v>
      </c>
      <c r="S57" s="523">
        <v>218</v>
      </c>
      <c r="T57" s="501">
        <f t="shared" si="32"/>
        <v>65.269461077844312</v>
      </c>
      <c r="U57" s="479">
        <v>102</v>
      </c>
      <c r="V57" s="535">
        <f t="shared" si="33"/>
        <v>30.538922155688624</v>
      </c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</row>
    <row r="58" spans="1:38" s="53" customFormat="1" ht="21" customHeight="1" x14ac:dyDescent="0.35">
      <c r="A58" s="560"/>
      <c r="B58" s="34">
        <v>6</v>
      </c>
      <c r="C58" s="450"/>
      <c r="D58" s="469" t="s">
        <v>88</v>
      </c>
      <c r="E58" s="470">
        <v>6</v>
      </c>
      <c r="F58" s="523">
        <v>335</v>
      </c>
      <c r="G58" s="469">
        <v>6</v>
      </c>
      <c r="H58" s="465">
        <f t="shared" si="26"/>
        <v>100</v>
      </c>
      <c r="I58" s="523">
        <v>213</v>
      </c>
      <c r="J58" s="465">
        <f t="shared" si="27"/>
        <v>63.582089552238806</v>
      </c>
      <c r="K58" s="523">
        <v>309</v>
      </c>
      <c r="L58" s="465">
        <f t="shared" si="28"/>
        <v>92.238805970149258</v>
      </c>
      <c r="M58" s="523">
        <v>289</v>
      </c>
      <c r="N58" s="500">
        <f t="shared" si="29"/>
        <v>86.268656716417908</v>
      </c>
      <c r="O58" s="523">
        <v>103</v>
      </c>
      <c r="P58" s="465">
        <f t="shared" si="30"/>
        <v>30.746268656716421</v>
      </c>
      <c r="Q58" s="671">
        <v>103</v>
      </c>
      <c r="R58" s="630">
        <f t="shared" si="31"/>
        <v>30.746268656716421</v>
      </c>
      <c r="S58" s="523">
        <v>213</v>
      </c>
      <c r="T58" s="501">
        <f t="shared" si="32"/>
        <v>63.582089552238806</v>
      </c>
      <c r="U58" s="479">
        <v>103</v>
      </c>
      <c r="V58" s="535">
        <f t="shared" si="33"/>
        <v>30.746268656716421</v>
      </c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</row>
    <row r="59" spans="1:38" s="53" customFormat="1" ht="21" customHeight="1" x14ac:dyDescent="0.35">
      <c r="A59" s="560"/>
      <c r="B59" s="34">
        <v>7</v>
      </c>
      <c r="C59" s="450"/>
      <c r="D59" s="469" t="s">
        <v>89</v>
      </c>
      <c r="E59" s="470">
        <v>2</v>
      </c>
      <c r="F59" s="523">
        <v>46</v>
      </c>
      <c r="G59" s="469">
        <v>2</v>
      </c>
      <c r="H59" s="465">
        <f t="shared" si="26"/>
        <v>100</v>
      </c>
      <c r="I59" s="523">
        <v>24</v>
      </c>
      <c r="J59" s="465">
        <f t="shared" si="27"/>
        <v>52.173913043478258</v>
      </c>
      <c r="K59" s="523">
        <v>16</v>
      </c>
      <c r="L59" s="465">
        <f t="shared" si="28"/>
        <v>34.782608695652172</v>
      </c>
      <c r="M59" s="523">
        <v>31</v>
      </c>
      <c r="N59" s="500">
        <f t="shared" si="29"/>
        <v>67.391304347826093</v>
      </c>
      <c r="O59" s="523">
        <v>12</v>
      </c>
      <c r="P59" s="465">
        <f t="shared" si="30"/>
        <v>26.086956521739129</v>
      </c>
      <c r="Q59" s="671">
        <v>12</v>
      </c>
      <c r="R59" s="630">
        <f t="shared" si="31"/>
        <v>26.086956521739129</v>
      </c>
      <c r="S59" s="523">
        <v>24</v>
      </c>
      <c r="T59" s="501">
        <f t="shared" si="32"/>
        <v>52.173913043478258</v>
      </c>
      <c r="U59" s="479">
        <v>12</v>
      </c>
      <c r="V59" s="535">
        <f t="shared" si="33"/>
        <v>26.086956521739129</v>
      </c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</row>
    <row r="60" spans="1:38" s="53" customFormat="1" ht="21" customHeight="1" x14ac:dyDescent="0.35">
      <c r="A60" s="561"/>
      <c r="B60" s="124"/>
      <c r="C60" s="572" t="s">
        <v>2</v>
      </c>
      <c r="D60" s="124">
        <v>7</v>
      </c>
      <c r="E60" s="530">
        <f>SUM(E53:E59)</f>
        <v>31</v>
      </c>
      <c r="F60" s="493">
        <f>SUM(F53:F59)</f>
        <v>2039</v>
      </c>
      <c r="G60" s="124">
        <f>SUM(G53:G59)</f>
        <v>31</v>
      </c>
      <c r="H60" s="493">
        <f t="shared" si="26"/>
        <v>100</v>
      </c>
      <c r="I60" s="531">
        <f>SUM(I53:I59)</f>
        <v>1266</v>
      </c>
      <c r="J60" s="493">
        <f t="shared" si="27"/>
        <v>62.089259440902403</v>
      </c>
      <c r="K60" s="531">
        <f>SUM(K53:K59)</f>
        <v>1625</v>
      </c>
      <c r="L60" s="493">
        <f t="shared" si="28"/>
        <v>79.69592937714566</v>
      </c>
      <c r="M60" s="532">
        <f>SUM(M53:M59)</f>
        <v>1518</v>
      </c>
      <c r="N60" s="533">
        <f t="shared" si="29"/>
        <v>74.448258950465913</v>
      </c>
      <c r="O60" s="532">
        <f>SUM(O53:O59)</f>
        <v>706</v>
      </c>
      <c r="P60" s="493">
        <f t="shared" si="30"/>
        <v>34.624816086316827</v>
      </c>
      <c r="Q60" s="124">
        <f>SUM(Q53:Q59)</f>
        <v>706</v>
      </c>
      <c r="R60" s="124">
        <f t="shared" si="31"/>
        <v>34.624816086316827</v>
      </c>
      <c r="S60" s="493">
        <f>SUM(S53:S59)</f>
        <v>1266</v>
      </c>
      <c r="T60" s="534">
        <f t="shared" si="32"/>
        <v>62.089259440902403</v>
      </c>
      <c r="U60" s="124">
        <f>SUM(U53:U59)</f>
        <v>706</v>
      </c>
      <c r="V60" s="537">
        <f t="shared" si="33"/>
        <v>34.624816086316827</v>
      </c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</row>
    <row r="61" spans="1:38" s="53" customFormat="1" ht="21" customHeight="1" x14ac:dyDescent="0.35">
      <c r="A61" s="560">
        <v>5</v>
      </c>
      <c r="B61" s="34">
        <v>1</v>
      </c>
      <c r="C61" s="573" t="s">
        <v>77</v>
      </c>
      <c r="D61" s="558" t="s">
        <v>91</v>
      </c>
      <c r="E61" s="528">
        <v>23</v>
      </c>
      <c r="F61" s="529">
        <v>4250</v>
      </c>
      <c r="G61" s="528">
        <v>23</v>
      </c>
      <c r="H61" s="465">
        <f>G61/E61*100</f>
        <v>100</v>
      </c>
      <c r="I61" s="469">
        <v>3580</v>
      </c>
      <c r="J61" s="465">
        <f>I61/F61*100</f>
        <v>84.235294117647058</v>
      </c>
      <c r="K61" s="469">
        <v>3998</v>
      </c>
      <c r="L61" s="465">
        <f>K61/F61*100</f>
        <v>94.07058823529411</v>
      </c>
      <c r="M61" s="465">
        <v>3983</v>
      </c>
      <c r="N61" s="500">
        <f>M61/F61*100</f>
        <v>93.71764705882353</v>
      </c>
      <c r="O61" s="465">
        <v>1980</v>
      </c>
      <c r="P61" s="465">
        <f>O61/F61*100</f>
        <v>46.588235294117645</v>
      </c>
      <c r="Q61" s="470">
        <v>23</v>
      </c>
      <c r="R61" s="469">
        <f>Q61/E61*100</f>
        <v>100</v>
      </c>
      <c r="S61" s="465">
        <v>2350</v>
      </c>
      <c r="T61" s="501">
        <f>S61/F61*100</f>
        <v>55.294117647058826</v>
      </c>
      <c r="U61" s="465">
        <f>(I61+K61+M61+O61+S61)/5</f>
        <v>3178.2</v>
      </c>
      <c r="V61" s="465">
        <f>U61/F61*100</f>
        <v>74.781176470588235</v>
      </c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</row>
    <row r="62" spans="1:38" s="53" customFormat="1" ht="21" customHeight="1" x14ac:dyDescent="0.35">
      <c r="A62" s="560"/>
      <c r="B62" s="34">
        <v>2</v>
      </c>
      <c r="C62" s="573"/>
      <c r="D62" s="558" t="s">
        <v>92</v>
      </c>
      <c r="E62" s="528">
        <v>4</v>
      </c>
      <c r="F62" s="529">
        <v>451</v>
      </c>
      <c r="G62" s="528">
        <v>4</v>
      </c>
      <c r="H62" s="465">
        <f t="shared" ref="H62:H71" si="34">G62/E62*100</f>
        <v>100</v>
      </c>
      <c r="I62" s="469">
        <v>338</v>
      </c>
      <c r="J62" s="465">
        <f t="shared" ref="J62:J71" si="35">I62/F62*100</f>
        <v>74.94456762749445</v>
      </c>
      <c r="K62" s="469">
        <v>402</v>
      </c>
      <c r="L62" s="465">
        <f t="shared" ref="L62:L71" si="36">K62/F62*100</f>
        <v>89.13525498891353</v>
      </c>
      <c r="M62" s="465">
        <v>405</v>
      </c>
      <c r="N62" s="500">
        <f t="shared" ref="N62:N71" si="37">M62/F62*100</f>
        <v>89.800443458980041</v>
      </c>
      <c r="O62" s="465">
        <v>190</v>
      </c>
      <c r="P62" s="465">
        <f t="shared" ref="P62:P71" si="38">O62/F62*100</f>
        <v>42.128603104212857</v>
      </c>
      <c r="Q62" s="470">
        <v>4</v>
      </c>
      <c r="R62" s="469">
        <f t="shared" ref="R62:R71" si="39">Q62/E62*100</f>
        <v>100</v>
      </c>
      <c r="S62" s="465">
        <v>181</v>
      </c>
      <c r="T62" s="501">
        <f t="shared" ref="T62:T71" si="40">S62/F62*100</f>
        <v>40.133037694013304</v>
      </c>
      <c r="U62" s="465">
        <f t="shared" ref="U62:U71" si="41">(I62+K62+M62+O62+S62)/5</f>
        <v>303.2</v>
      </c>
      <c r="V62" s="465">
        <f t="shared" ref="V62:V71" si="42">U62/F62*100</f>
        <v>67.228381374722829</v>
      </c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</row>
    <row r="63" spans="1:38" s="53" customFormat="1" ht="21" customHeight="1" x14ac:dyDescent="0.35">
      <c r="A63" s="560"/>
      <c r="B63" s="34">
        <v>3</v>
      </c>
      <c r="C63" s="573"/>
      <c r="D63" s="558" t="s">
        <v>93</v>
      </c>
      <c r="E63" s="528">
        <v>6</v>
      </c>
      <c r="F63" s="529">
        <v>346</v>
      </c>
      <c r="G63" s="528">
        <v>4</v>
      </c>
      <c r="H63" s="465">
        <f t="shared" si="34"/>
        <v>66.666666666666657</v>
      </c>
      <c r="I63" s="469">
        <v>209</v>
      </c>
      <c r="J63" s="465">
        <f t="shared" si="35"/>
        <v>60.404624277456641</v>
      </c>
      <c r="K63" s="469">
        <v>213</v>
      </c>
      <c r="L63" s="465">
        <f t="shared" si="36"/>
        <v>61.560693641618499</v>
      </c>
      <c r="M63" s="465">
        <v>170</v>
      </c>
      <c r="N63" s="500">
        <f t="shared" si="37"/>
        <v>49.132947976878611</v>
      </c>
      <c r="O63" s="465">
        <v>135</v>
      </c>
      <c r="P63" s="465">
        <f t="shared" si="38"/>
        <v>39.017341040462426</v>
      </c>
      <c r="Q63" s="470">
        <v>6</v>
      </c>
      <c r="R63" s="469">
        <f t="shared" si="39"/>
        <v>100</v>
      </c>
      <c r="S63" s="465">
        <v>140</v>
      </c>
      <c r="T63" s="501">
        <f t="shared" si="40"/>
        <v>40.462427745664741</v>
      </c>
      <c r="U63" s="465">
        <f t="shared" si="41"/>
        <v>173.4</v>
      </c>
      <c r="V63" s="465">
        <f t="shared" si="42"/>
        <v>50.115606936416192</v>
      </c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</row>
    <row r="64" spans="1:38" s="53" customFormat="1" ht="21" customHeight="1" x14ac:dyDescent="0.35">
      <c r="A64" s="560"/>
      <c r="B64" s="34">
        <v>4</v>
      </c>
      <c r="C64" s="573"/>
      <c r="D64" s="558" t="s">
        <v>94</v>
      </c>
      <c r="E64" s="528">
        <v>3</v>
      </c>
      <c r="F64" s="529">
        <v>292</v>
      </c>
      <c r="G64" s="528">
        <v>3</v>
      </c>
      <c r="H64" s="465">
        <f t="shared" si="34"/>
        <v>100</v>
      </c>
      <c r="I64" s="469">
        <v>207</v>
      </c>
      <c r="J64" s="465">
        <f t="shared" si="35"/>
        <v>70.890410958904098</v>
      </c>
      <c r="K64" s="469">
        <v>252</v>
      </c>
      <c r="L64" s="465">
        <f t="shared" si="36"/>
        <v>86.301369863013704</v>
      </c>
      <c r="M64" s="465">
        <v>100</v>
      </c>
      <c r="N64" s="500">
        <f t="shared" si="37"/>
        <v>34.246575342465754</v>
      </c>
      <c r="O64" s="465">
        <v>139</v>
      </c>
      <c r="P64" s="465">
        <f t="shared" si="38"/>
        <v>47.602739726027401</v>
      </c>
      <c r="Q64" s="470">
        <v>3</v>
      </c>
      <c r="R64" s="469">
        <f t="shared" si="39"/>
        <v>100</v>
      </c>
      <c r="S64" s="465">
        <v>125</v>
      </c>
      <c r="T64" s="501">
        <f t="shared" si="40"/>
        <v>42.80821917808219</v>
      </c>
      <c r="U64" s="465">
        <f t="shared" si="41"/>
        <v>164.6</v>
      </c>
      <c r="V64" s="465">
        <f t="shared" si="42"/>
        <v>56.369863013698627</v>
      </c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</row>
    <row r="65" spans="1:38" s="53" customFormat="1" ht="21" customHeight="1" x14ac:dyDescent="0.35">
      <c r="A65" s="560"/>
      <c r="B65" s="34">
        <v>5</v>
      </c>
      <c r="C65" s="573"/>
      <c r="D65" s="558" t="s">
        <v>95</v>
      </c>
      <c r="E65" s="528">
        <v>5</v>
      </c>
      <c r="F65" s="529">
        <v>270</v>
      </c>
      <c r="G65" s="528">
        <v>5</v>
      </c>
      <c r="H65" s="465">
        <f t="shared" si="34"/>
        <v>100</v>
      </c>
      <c r="I65" s="469">
        <v>207</v>
      </c>
      <c r="J65" s="465">
        <f t="shared" si="35"/>
        <v>76.666666666666671</v>
      </c>
      <c r="K65" s="469">
        <v>124</v>
      </c>
      <c r="L65" s="465">
        <f t="shared" si="36"/>
        <v>45.925925925925924</v>
      </c>
      <c r="M65" s="465">
        <v>99</v>
      </c>
      <c r="N65" s="500">
        <f t="shared" si="37"/>
        <v>36.666666666666664</v>
      </c>
      <c r="O65" s="465">
        <v>105</v>
      </c>
      <c r="P65" s="465">
        <f t="shared" si="38"/>
        <v>38.888888888888893</v>
      </c>
      <c r="Q65" s="470">
        <v>5</v>
      </c>
      <c r="R65" s="469">
        <f t="shared" si="39"/>
        <v>100</v>
      </c>
      <c r="S65" s="465">
        <v>120</v>
      </c>
      <c r="T65" s="501">
        <f t="shared" si="40"/>
        <v>44.444444444444443</v>
      </c>
      <c r="U65" s="465">
        <f t="shared" si="41"/>
        <v>131</v>
      </c>
      <c r="V65" s="465">
        <f t="shared" si="42"/>
        <v>48.518518518518519</v>
      </c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</row>
    <row r="66" spans="1:38" s="53" customFormat="1" ht="21" customHeight="1" x14ac:dyDescent="0.35">
      <c r="A66" s="560"/>
      <c r="B66" s="34">
        <v>6</v>
      </c>
      <c r="C66" s="573"/>
      <c r="D66" s="558" t="s">
        <v>96</v>
      </c>
      <c r="E66" s="528">
        <v>4</v>
      </c>
      <c r="F66" s="529">
        <v>207</v>
      </c>
      <c r="G66" s="528">
        <v>4</v>
      </c>
      <c r="H66" s="465">
        <f t="shared" si="34"/>
        <v>100</v>
      </c>
      <c r="I66" s="469">
        <v>198</v>
      </c>
      <c r="J66" s="465">
        <f t="shared" si="35"/>
        <v>95.652173913043484</v>
      </c>
      <c r="K66" s="469">
        <v>126</v>
      </c>
      <c r="L66" s="465">
        <f t="shared" si="36"/>
        <v>60.869565217391312</v>
      </c>
      <c r="M66" s="465">
        <v>100</v>
      </c>
      <c r="N66" s="500">
        <f t="shared" si="37"/>
        <v>48.309178743961354</v>
      </c>
      <c r="O66" s="465">
        <v>98</v>
      </c>
      <c r="P66" s="465">
        <f t="shared" si="38"/>
        <v>47.342995169082123</v>
      </c>
      <c r="Q66" s="470">
        <v>4</v>
      </c>
      <c r="R66" s="469">
        <f t="shared" si="39"/>
        <v>100</v>
      </c>
      <c r="S66" s="465">
        <v>83</v>
      </c>
      <c r="T66" s="501">
        <f t="shared" si="40"/>
        <v>40.096618357487927</v>
      </c>
      <c r="U66" s="465">
        <f t="shared" si="41"/>
        <v>121</v>
      </c>
      <c r="V66" s="465">
        <f t="shared" si="42"/>
        <v>58.454106280193244</v>
      </c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</row>
    <row r="67" spans="1:38" s="53" customFormat="1" ht="21" customHeight="1" x14ac:dyDescent="0.35">
      <c r="A67" s="560"/>
      <c r="B67" s="34">
        <v>7</v>
      </c>
      <c r="C67" s="573"/>
      <c r="D67" s="558" t="s">
        <v>97</v>
      </c>
      <c r="E67" s="528">
        <v>3</v>
      </c>
      <c r="F67" s="529">
        <v>201</v>
      </c>
      <c r="G67" s="528">
        <v>3</v>
      </c>
      <c r="H67" s="465">
        <f t="shared" si="34"/>
        <v>100</v>
      </c>
      <c r="I67" s="469">
        <v>189</v>
      </c>
      <c r="J67" s="465">
        <f t="shared" si="35"/>
        <v>94.029850746268664</v>
      </c>
      <c r="K67" s="469">
        <v>124</v>
      </c>
      <c r="L67" s="465">
        <f t="shared" si="36"/>
        <v>61.691542288557208</v>
      </c>
      <c r="M67" s="465">
        <v>93</v>
      </c>
      <c r="N67" s="500">
        <f t="shared" si="37"/>
        <v>46.268656716417908</v>
      </c>
      <c r="O67" s="465">
        <v>78</v>
      </c>
      <c r="P67" s="465">
        <f t="shared" si="38"/>
        <v>38.805970149253731</v>
      </c>
      <c r="Q67" s="470">
        <v>3</v>
      </c>
      <c r="R67" s="469">
        <f t="shared" si="39"/>
        <v>100</v>
      </c>
      <c r="S67" s="465">
        <v>85</v>
      </c>
      <c r="T67" s="501">
        <f t="shared" si="40"/>
        <v>42.288557213930353</v>
      </c>
      <c r="U67" s="465">
        <f t="shared" si="41"/>
        <v>113.8</v>
      </c>
      <c r="V67" s="465">
        <f t="shared" si="42"/>
        <v>56.616915422885569</v>
      </c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</row>
    <row r="68" spans="1:38" s="53" customFormat="1" ht="21" customHeight="1" x14ac:dyDescent="0.35">
      <c r="A68" s="560"/>
      <c r="B68" s="34">
        <v>8</v>
      </c>
      <c r="C68" s="573"/>
      <c r="D68" s="558" t="s">
        <v>98</v>
      </c>
      <c r="E68" s="528">
        <v>4</v>
      </c>
      <c r="F68" s="529">
        <v>211</v>
      </c>
      <c r="G68" s="528">
        <v>4</v>
      </c>
      <c r="H68" s="465">
        <f t="shared" si="34"/>
        <v>100</v>
      </c>
      <c r="I68" s="469">
        <v>185</v>
      </c>
      <c r="J68" s="465">
        <f t="shared" si="35"/>
        <v>87.677725118483409</v>
      </c>
      <c r="K68" s="469">
        <v>106</v>
      </c>
      <c r="L68" s="465">
        <f t="shared" si="36"/>
        <v>50.236966824644547</v>
      </c>
      <c r="M68" s="465">
        <v>84</v>
      </c>
      <c r="N68" s="500">
        <f t="shared" si="37"/>
        <v>39.810426540284361</v>
      </c>
      <c r="O68" s="465">
        <v>90</v>
      </c>
      <c r="P68" s="465">
        <f t="shared" si="38"/>
        <v>42.654028436018962</v>
      </c>
      <c r="Q68" s="470">
        <v>4</v>
      </c>
      <c r="R68" s="469">
        <f t="shared" si="39"/>
        <v>100</v>
      </c>
      <c r="S68" s="465">
        <v>82</v>
      </c>
      <c r="T68" s="501">
        <f t="shared" si="40"/>
        <v>38.862559241706165</v>
      </c>
      <c r="U68" s="465">
        <f t="shared" si="41"/>
        <v>109.4</v>
      </c>
      <c r="V68" s="465">
        <f t="shared" si="42"/>
        <v>51.84834123222749</v>
      </c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</row>
    <row r="69" spans="1:38" s="53" customFormat="1" ht="21" customHeight="1" x14ac:dyDescent="0.35">
      <c r="A69" s="560"/>
      <c r="B69" s="34">
        <v>9</v>
      </c>
      <c r="C69" s="573"/>
      <c r="D69" s="558" t="s">
        <v>99</v>
      </c>
      <c r="E69" s="528">
        <v>2</v>
      </c>
      <c r="F69" s="529">
        <v>185</v>
      </c>
      <c r="G69" s="528">
        <v>2</v>
      </c>
      <c r="H69" s="465">
        <f t="shared" si="34"/>
        <v>100</v>
      </c>
      <c r="I69" s="469">
        <v>154</v>
      </c>
      <c r="J69" s="465">
        <f t="shared" si="35"/>
        <v>83.243243243243242</v>
      </c>
      <c r="K69" s="469">
        <v>93</v>
      </c>
      <c r="L69" s="465">
        <f t="shared" si="36"/>
        <v>50.270270270270267</v>
      </c>
      <c r="M69" s="465">
        <v>74</v>
      </c>
      <c r="N69" s="500">
        <f t="shared" si="37"/>
        <v>40</v>
      </c>
      <c r="O69" s="465">
        <v>75</v>
      </c>
      <c r="P69" s="465">
        <f t="shared" si="38"/>
        <v>40.54054054054054</v>
      </c>
      <c r="Q69" s="470">
        <v>2</v>
      </c>
      <c r="R69" s="469">
        <f t="shared" si="39"/>
        <v>100</v>
      </c>
      <c r="S69" s="465">
        <v>81</v>
      </c>
      <c r="T69" s="501">
        <f t="shared" si="40"/>
        <v>43.78378378378379</v>
      </c>
      <c r="U69" s="465">
        <f t="shared" si="41"/>
        <v>95.4</v>
      </c>
      <c r="V69" s="465">
        <f t="shared" si="42"/>
        <v>51.567567567567572</v>
      </c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</row>
    <row r="70" spans="1:38" s="53" customFormat="1" ht="21" customHeight="1" x14ac:dyDescent="0.35">
      <c r="A70" s="560"/>
      <c r="B70" s="34">
        <v>10</v>
      </c>
      <c r="C70" s="573"/>
      <c r="D70" s="558" t="s">
        <v>100</v>
      </c>
      <c r="E70" s="528">
        <v>2</v>
      </c>
      <c r="F70" s="529">
        <v>96</v>
      </c>
      <c r="G70" s="528">
        <v>2</v>
      </c>
      <c r="H70" s="465">
        <f t="shared" si="34"/>
        <v>100</v>
      </c>
      <c r="I70" s="469">
        <v>81</v>
      </c>
      <c r="J70" s="465">
        <f t="shared" si="35"/>
        <v>84.375</v>
      </c>
      <c r="K70" s="469">
        <v>47</v>
      </c>
      <c r="L70" s="465">
        <f t="shared" si="36"/>
        <v>48.958333333333329</v>
      </c>
      <c r="M70" s="465">
        <v>30</v>
      </c>
      <c r="N70" s="500">
        <f t="shared" si="37"/>
        <v>31.25</v>
      </c>
      <c r="O70" s="465">
        <v>45</v>
      </c>
      <c r="P70" s="465">
        <f t="shared" si="38"/>
        <v>46.875</v>
      </c>
      <c r="Q70" s="470">
        <v>2</v>
      </c>
      <c r="R70" s="469">
        <f t="shared" si="39"/>
        <v>100</v>
      </c>
      <c r="S70" s="465">
        <v>40</v>
      </c>
      <c r="T70" s="501">
        <f t="shared" si="40"/>
        <v>41.666666666666671</v>
      </c>
      <c r="U70" s="465">
        <f t="shared" si="41"/>
        <v>48.6</v>
      </c>
      <c r="V70" s="465">
        <f t="shared" si="42"/>
        <v>50.625</v>
      </c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</row>
    <row r="71" spans="1:38" s="53" customFormat="1" ht="21" customHeight="1" x14ac:dyDescent="0.35">
      <c r="A71" s="563"/>
      <c r="B71" s="54">
        <v>11</v>
      </c>
      <c r="C71" s="574"/>
      <c r="D71" s="558" t="s">
        <v>101</v>
      </c>
      <c r="E71" s="528">
        <v>2</v>
      </c>
      <c r="F71" s="529">
        <v>42</v>
      </c>
      <c r="G71" s="528">
        <v>2</v>
      </c>
      <c r="H71" s="465">
        <f t="shared" si="34"/>
        <v>100</v>
      </c>
      <c r="I71" s="469">
        <v>35</v>
      </c>
      <c r="J71" s="465">
        <f t="shared" si="35"/>
        <v>83.333333333333343</v>
      </c>
      <c r="K71" s="469">
        <v>20</v>
      </c>
      <c r="L71" s="465">
        <f t="shared" si="36"/>
        <v>47.619047619047613</v>
      </c>
      <c r="M71" s="465">
        <v>16</v>
      </c>
      <c r="N71" s="500">
        <f t="shared" si="37"/>
        <v>38.095238095238095</v>
      </c>
      <c r="O71" s="465">
        <v>15</v>
      </c>
      <c r="P71" s="465">
        <f t="shared" si="38"/>
        <v>35.714285714285715</v>
      </c>
      <c r="Q71" s="470">
        <v>2</v>
      </c>
      <c r="R71" s="469">
        <f t="shared" si="39"/>
        <v>100</v>
      </c>
      <c r="S71" s="465">
        <v>21</v>
      </c>
      <c r="T71" s="501">
        <f t="shared" si="40"/>
        <v>50</v>
      </c>
      <c r="U71" s="465">
        <f t="shared" si="41"/>
        <v>21.4</v>
      </c>
      <c r="V71" s="465">
        <f t="shared" si="42"/>
        <v>50.952380952380949</v>
      </c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</row>
    <row r="72" spans="1:38" s="53" customFormat="1" ht="21" customHeight="1" x14ac:dyDescent="0.35">
      <c r="A72" s="613"/>
      <c r="B72" s="527"/>
      <c r="C72" s="510" t="s">
        <v>2</v>
      </c>
      <c r="D72" s="124">
        <v>11</v>
      </c>
      <c r="E72" s="553">
        <f>SUM(E61:E71)</f>
        <v>58</v>
      </c>
      <c r="F72" s="553">
        <f t="shared" ref="F72:U72" si="43">SUM(F61:F71)</f>
        <v>6551</v>
      </c>
      <c r="G72" s="553">
        <f t="shared" si="43"/>
        <v>56</v>
      </c>
      <c r="H72" s="553">
        <f>G72/E72*100</f>
        <v>96.551724137931032</v>
      </c>
      <c r="I72" s="553">
        <f t="shared" si="43"/>
        <v>5383</v>
      </c>
      <c r="J72" s="553">
        <f>I72/F72*100</f>
        <v>82.170660967791179</v>
      </c>
      <c r="K72" s="553">
        <f t="shared" si="43"/>
        <v>5505</v>
      </c>
      <c r="L72" s="553">
        <f>K72/F72*100</f>
        <v>84.032972065333539</v>
      </c>
      <c r="M72" s="553">
        <f t="shared" si="43"/>
        <v>5154</v>
      </c>
      <c r="N72" s="553">
        <f>M72/F72*100</f>
        <v>78.675011448633796</v>
      </c>
      <c r="O72" s="553">
        <f t="shared" si="43"/>
        <v>2950</v>
      </c>
      <c r="P72" s="553">
        <f>O72/F72*100</f>
        <v>45.031292932376736</v>
      </c>
      <c r="Q72" s="553">
        <f t="shared" si="43"/>
        <v>58</v>
      </c>
      <c r="R72" s="553">
        <f>Q72/E72*100</f>
        <v>100</v>
      </c>
      <c r="S72" s="553">
        <f t="shared" si="43"/>
        <v>3308</v>
      </c>
      <c r="T72" s="553">
        <f>S72/E72*100</f>
        <v>5703.4482758620688</v>
      </c>
      <c r="U72" s="553">
        <f t="shared" si="43"/>
        <v>4459.9999999999991</v>
      </c>
      <c r="V72" s="553">
        <f>U72/E72*100</f>
        <v>7689.6551724137926</v>
      </c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</row>
    <row r="73" spans="1:38" s="53" customFormat="1" ht="21" customHeight="1" x14ac:dyDescent="0.35">
      <c r="A73" s="562">
        <v>6</v>
      </c>
      <c r="B73" s="32">
        <v>1</v>
      </c>
      <c r="C73" s="575" t="s">
        <v>106</v>
      </c>
      <c r="D73" s="595" t="s">
        <v>107</v>
      </c>
      <c r="E73" s="528">
        <v>7</v>
      </c>
      <c r="F73" s="529">
        <v>387</v>
      </c>
      <c r="G73" s="469">
        <v>5</v>
      </c>
      <c r="H73" s="465">
        <v>71.428571428571431</v>
      </c>
      <c r="I73" s="469">
        <v>36</v>
      </c>
      <c r="J73" s="465">
        <f>I73/F73*100</f>
        <v>9.3023255813953494</v>
      </c>
      <c r="K73" s="469">
        <v>40</v>
      </c>
      <c r="L73" s="465">
        <f>K73/F73*100</f>
        <v>10.335917312661499</v>
      </c>
      <c r="M73" s="578">
        <v>10</v>
      </c>
      <c r="N73" s="500">
        <f>M73/F73*100</f>
        <v>2.5839793281653747</v>
      </c>
      <c r="O73" s="529">
        <v>17</v>
      </c>
      <c r="P73" s="465">
        <f>O73/F73*100</f>
        <v>4.3927648578811365</v>
      </c>
      <c r="Q73" s="529">
        <v>0</v>
      </c>
      <c r="R73" s="469">
        <v>0</v>
      </c>
      <c r="S73" s="578">
        <v>0</v>
      </c>
      <c r="T73" s="501">
        <v>0</v>
      </c>
      <c r="U73" s="465">
        <f>(G73+I73+K73+M73+O73+S73)/6</f>
        <v>18</v>
      </c>
      <c r="V73" s="535">
        <f>U73/F73*100</f>
        <v>4.6511627906976747</v>
      </c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</row>
    <row r="74" spans="1:38" s="53" customFormat="1" ht="21" customHeight="1" x14ac:dyDescent="0.35">
      <c r="A74" s="560"/>
      <c r="B74" s="34">
        <v>2</v>
      </c>
      <c r="C74" s="573"/>
      <c r="D74" s="595" t="s">
        <v>108</v>
      </c>
      <c r="E74" s="528">
        <v>6</v>
      </c>
      <c r="F74" s="529">
        <v>219</v>
      </c>
      <c r="G74" s="469">
        <v>5</v>
      </c>
      <c r="H74" s="465">
        <v>83.333333333333343</v>
      </c>
      <c r="I74" s="469">
        <v>23</v>
      </c>
      <c r="J74" s="465">
        <f t="shared" ref="J74:J85" si="44">I74/F74*100</f>
        <v>10.50228310502283</v>
      </c>
      <c r="K74" s="469">
        <v>33</v>
      </c>
      <c r="L74" s="465">
        <f t="shared" ref="L74:L85" si="45">K74/F74*100</f>
        <v>15.068493150684931</v>
      </c>
      <c r="M74" s="578">
        <v>17</v>
      </c>
      <c r="N74" s="500">
        <f t="shared" ref="N74:N85" si="46">M74/F74*100</f>
        <v>7.7625570776255701</v>
      </c>
      <c r="O74" s="529">
        <v>9</v>
      </c>
      <c r="P74" s="465">
        <f t="shared" ref="P74:P85" si="47">O74/F74*100</f>
        <v>4.10958904109589</v>
      </c>
      <c r="Q74" s="529">
        <v>0</v>
      </c>
      <c r="R74" s="469">
        <v>0</v>
      </c>
      <c r="S74" s="578">
        <v>0</v>
      </c>
      <c r="T74" s="501">
        <v>0</v>
      </c>
      <c r="U74" s="465">
        <f t="shared" ref="U74:U84" si="48">(G74+I74+K74+M74+O74+S74)/6</f>
        <v>14.5</v>
      </c>
      <c r="V74" s="535">
        <f t="shared" ref="V74:V85" si="49">U74/F74*100</f>
        <v>6.6210045662100452</v>
      </c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</row>
    <row r="75" spans="1:38" s="53" customFormat="1" ht="21" customHeight="1" x14ac:dyDescent="0.35">
      <c r="A75" s="560"/>
      <c r="B75" s="34">
        <v>3</v>
      </c>
      <c r="C75" s="573"/>
      <c r="D75" s="595" t="s">
        <v>109</v>
      </c>
      <c r="E75" s="528">
        <v>4</v>
      </c>
      <c r="F75" s="529">
        <v>204</v>
      </c>
      <c r="G75" s="469">
        <v>5</v>
      </c>
      <c r="H75" s="465">
        <v>125</v>
      </c>
      <c r="I75" s="469">
        <v>48</v>
      </c>
      <c r="J75" s="465">
        <f t="shared" si="44"/>
        <v>23.52941176470588</v>
      </c>
      <c r="K75" s="469">
        <v>24</v>
      </c>
      <c r="L75" s="465">
        <f t="shared" si="45"/>
        <v>11.76470588235294</v>
      </c>
      <c r="M75" s="578">
        <v>13</v>
      </c>
      <c r="N75" s="500">
        <f t="shared" si="46"/>
        <v>6.3725490196078427</v>
      </c>
      <c r="O75" s="529">
        <v>15</v>
      </c>
      <c r="P75" s="465">
        <f t="shared" si="47"/>
        <v>7.3529411764705888</v>
      </c>
      <c r="Q75" s="529">
        <v>0</v>
      </c>
      <c r="R75" s="469">
        <v>0</v>
      </c>
      <c r="S75" s="578">
        <v>0</v>
      </c>
      <c r="T75" s="501">
        <v>0</v>
      </c>
      <c r="U75" s="465">
        <f t="shared" si="48"/>
        <v>17.5</v>
      </c>
      <c r="V75" s="535">
        <f t="shared" si="49"/>
        <v>8.5784313725490193</v>
      </c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</row>
    <row r="76" spans="1:38" s="53" customFormat="1" ht="21" customHeight="1" x14ac:dyDescent="0.35">
      <c r="A76" s="560"/>
      <c r="B76" s="34">
        <v>4</v>
      </c>
      <c r="C76" s="573"/>
      <c r="D76" s="595" t="s">
        <v>110</v>
      </c>
      <c r="E76" s="528">
        <v>7</v>
      </c>
      <c r="F76" s="529">
        <v>489</v>
      </c>
      <c r="G76" s="469">
        <v>5</v>
      </c>
      <c r="H76" s="465">
        <v>71.428571428571431</v>
      </c>
      <c r="I76" s="469">
        <v>35</v>
      </c>
      <c r="J76" s="465">
        <f t="shared" si="44"/>
        <v>7.1574642126789367</v>
      </c>
      <c r="K76" s="469">
        <v>67</v>
      </c>
      <c r="L76" s="465">
        <f t="shared" si="45"/>
        <v>13.701431492842536</v>
      </c>
      <c r="M76" s="578">
        <v>27</v>
      </c>
      <c r="N76" s="500">
        <f t="shared" si="46"/>
        <v>5.5214723926380369</v>
      </c>
      <c r="O76" s="529">
        <v>11</v>
      </c>
      <c r="P76" s="465">
        <f t="shared" si="47"/>
        <v>2.2494887525562373</v>
      </c>
      <c r="Q76" s="529">
        <v>0</v>
      </c>
      <c r="R76" s="469">
        <v>0</v>
      </c>
      <c r="S76" s="578">
        <v>0</v>
      </c>
      <c r="T76" s="501">
        <v>0</v>
      </c>
      <c r="U76" s="465">
        <f t="shared" si="48"/>
        <v>24.166666666666668</v>
      </c>
      <c r="V76" s="535">
        <f t="shared" si="49"/>
        <v>4.9420586230402188</v>
      </c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</row>
    <row r="77" spans="1:38" s="53" customFormat="1" ht="21" customHeight="1" x14ac:dyDescent="0.35">
      <c r="A77" s="560"/>
      <c r="B77" s="34">
        <v>5</v>
      </c>
      <c r="C77" s="573"/>
      <c r="D77" s="595" t="s">
        <v>111</v>
      </c>
      <c r="E77" s="528">
        <v>4</v>
      </c>
      <c r="F77" s="529">
        <v>168</v>
      </c>
      <c r="G77" s="469">
        <v>6</v>
      </c>
      <c r="H77" s="465">
        <v>150</v>
      </c>
      <c r="I77" s="469">
        <v>69</v>
      </c>
      <c r="J77" s="465">
        <f t="shared" si="44"/>
        <v>41.071428571428569</v>
      </c>
      <c r="K77" s="469">
        <v>54</v>
      </c>
      <c r="L77" s="465">
        <f t="shared" si="45"/>
        <v>32.142857142857146</v>
      </c>
      <c r="M77" s="578">
        <v>123</v>
      </c>
      <c r="N77" s="500">
        <f t="shared" si="46"/>
        <v>73.214285714285708</v>
      </c>
      <c r="O77" s="529">
        <v>27</v>
      </c>
      <c r="P77" s="465">
        <f t="shared" si="47"/>
        <v>16.071428571428573</v>
      </c>
      <c r="Q77" s="529">
        <v>0</v>
      </c>
      <c r="R77" s="469">
        <v>0</v>
      </c>
      <c r="S77" s="578">
        <v>0</v>
      </c>
      <c r="T77" s="501">
        <v>0</v>
      </c>
      <c r="U77" s="465">
        <f t="shared" si="48"/>
        <v>46.5</v>
      </c>
      <c r="V77" s="535">
        <f t="shared" si="49"/>
        <v>27.678571428571431</v>
      </c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</row>
    <row r="78" spans="1:38" s="53" customFormat="1" ht="21" customHeight="1" x14ac:dyDescent="0.35">
      <c r="A78" s="560"/>
      <c r="B78" s="34">
        <v>6</v>
      </c>
      <c r="C78" s="573"/>
      <c r="D78" s="595" t="s">
        <v>112</v>
      </c>
      <c r="E78" s="528">
        <v>3</v>
      </c>
      <c r="F78" s="529">
        <v>165</v>
      </c>
      <c r="G78" s="469">
        <v>6</v>
      </c>
      <c r="H78" s="465">
        <v>200</v>
      </c>
      <c r="I78" s="469">
        <v>65</v>
      </c>
      <c r="J78" s="465">
        <f t="shared" si="44"/>
        <v>39.393939393939391</v>
      </c>
      <c r="K78" s="469">
        <v>68</v>
      </c>
      <c r="L78" s="465">
        <f t="shared" si="45"/>
        <v>41.212121212121211</v>
      </c>
      <c r="M78" s="578">
        <v>48</v>
      </c>
      <c r="N78" s="500">
        <f t="shared" si="46"/>
        <v>29.09090909090909</v>
      </c>
      <c r="O78" s="529">
        <v>19</v>
      </c>
      <c r="P78" s="465">
        <f t="shared" si="47"/>
        <v>11.515151515151516</v>
      </c>
      <c r="Q78" s="529">
        <v>0</v>
      </c>
      <c r="R78" s="469">
        <v>0</v>
      </c>
      <c r="S78" s="578">
        <v>0</v>
      </c>
      <c r="T78" s="501">
        <v>0</v>
      </c>
      <c r="U78" s="465">
        <f t="shared" si="48"/>
        <v>34.333333333333336</v>
      </c>
      <c r="V78" s="535">
        <f t="shared" si="49"/>
        <v>20.80808080808081</v>
      </c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</row>
    <row r="79" spans="1:38" s="53" customFormat="1" ht="21" customHeight="1" x14ac:dyDescent="0.35">
      <c r="A79" s="560"/>
      <c r="B79" s="34">
        <v>7</v>
      </c>
      <c r="C79" s="573"/>
      <c r="D79" s="595" t="s">
        <v>113</v>
      </c>
      <c r="E79" s="528">
        <v>4</v>
      </c>
      <c r="F79" s="529">
        <v>141</v>
      </c>
      <c r="G79" s="469">
        <v>5</v>
      </c>
      <c r="H79" s="465">
        <v>125</v>
      </c>
      <c r="I79" s="469">
        <v>7</v>
      </c>
      <c r="J79" s="465">
        <f t="shared" si="44"/>
        <v>4.9645390070921991</v>
      </c>
      <c r="K79" s="469">
        <v>37</v>
      </c>
      <c r="L79" s="465">
        <f t="shared" si="45"/>
        <v>26.24113475177305</v>
      </c>
      <c r="M79" s="578">
        <v>4</v>
      </c>
      <c r="N79" s="500">
        <f t="shared" si="46"/>
        <v>2.8368794326241136</v>
      </c>
      <c r="O79" s="529">
        <v>4</v>
      </c>
      <c r="P79" s="465">
        <f t="shared" si="47"/>
        <v>2.8368794326241136</v>
      </c>
      <c r="Q79" s="529">
        <v>0</v>
      </c>
      <c r="R79" s="469">
        <v>0</v>
      </c>
      <c r="S79" s="578">
        <v>0</v>
      </c>
      <c r="T79" s="501">
        <v>0</v>
      </c>
      <c r="U79" s="465">
        <f t="shared" si="48"/>
        <v>9.5</v>
      </c>
      <c r="V79" s="535">
        <f t="shared" si="49"/>
        <v>6.7375886524822697</v>
      </c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</row>
    <row r="80" spans="1:38" s="53" customFormat="1" ht="21" customHeight="1" x14ac:dyDescent="0.35">
      <c r="A80" s="560"/>
      <c r="B80" s="34">
        <v>8</v>
      </c>
      <c r="C80" s="573"/>
      <c r="D80" s="595" t="s">
        <v>114</v>
      </c>
      <c r="E80" s="528">
        <v>3</v>
      </c>
      <c r="F80" s="529">
        <v>60</v>
      </c>
      <c r="G80" s="469">
        <v>4</v>
      </c>
      <c r="H80" s="465">
        <v>133.33333333333331</v>
      </c>
      <c r="I80" s="469">
        <v>5</v>
      </c>
      <c r="J80" s="465">
        <f t="shared" si="44"/>
        <v>8.3333333333333321</v>
      </c>
      <c r="K80" s="469">
        <v>11</v>
      </c>
      <c r="L80" s="465">
        <f t="shared" si="45"/>
        <v>18.333333333333332</v>
      </c>
      <c r="M80" s="578">
        <v>3</v>
      </c>
      <c r="N80" s="500">
        <f t="shared" si="46"/>
        <v>5</v>
      </c>
      <c r="O80" s="529">
        <v>3</v>
      </c>
      <c r="P80" s="465">
        <f t="shared" si="47"/>
        <v>5</v>
      </c>
      <c r="Q80" s="529">
        <v>0</v>
      </c>
      <c r="R80" s="469">
        <v>0</v>
      </c>
      <c r="S80" s="578">
        <v>0</v>
      </c>
      <c r="T80" s="501">
        <v>0</v>
      </c>
      <c r="U80" s="465">
        <f t="shared" si="48"/>
        <v>4.333333333333333</v>
      </c>
      <c r="V80" s="535">
        <f t="shared" si="49"/>
        <v>7.2222222222222214</v>
      </c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</row>
    <row r="81" spans="1:38" s="53" customFormat="1" ht="21" customHeight="1" x14ac:dyDescent="0.35">
      <c r="A81" s="560"/>
      <c r="B81" s="34">
        <v>9</v>
      </c>
      <c r="C81" s="573"/>
      <c r="D81" s="595" t="s">
        <v>115</v>
      </c>
      <c r="E81" s="528">
        <v>4</v>
      </c>
      <c r="F81" s="529">
        <v>157</v>
      </c>
      <c r="G81" s="469">
        <v>3</v>
      </c>
      <c r="H81" s="465">
        <v>75</v>
      </c>
      <c r="I81" s="469">
        <v>12</v>
      </c>
      <c r="J81" s="465">
        <f t="shared" si="44"/>
        <v>7.6433121019108281</v>
      </c>
      <c r="K81" s="469">
        <v>20</v>
      </c>
      <c r="L81" s="465">
        <f t="shared" si="45"/>
        <v>12.738853503184714</v>
      </c>
      <c r="M81" s="578">
        <v>7</v>
      </c>
      <c r="N81" s="500">
        <f t="shared" si="46"/>
        <v>4.4585987261146496</v>
      </c>
      <c r="O81" s="529">
        <v>7</v>
      </c>
      <c r="P81" s="465">
        <f t="shared" si="47"/>
        <v>4.4585987261146496</v>
      </c>
      <c r="Q81" s="529">
        <v>0</v>
      </c>
      <c r="R81" s="469">
        <v>0</v>
      </c>
      <c r="S81" s="578">
        <v>0</v>
      </c>
      <c r="T81" s="501">
        <v>0</v>
      </c>
      <c r="U81" s="465">
        <f t="shared" si="48"/>
        <v>8.1666666666666661</v>
      </c>
      <c r="V81" s="535">
        <f t="shared" si="49"/>
        <v>5.2016985138004239</v>
      </c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</row>
    <row r="82" spans="1:38" s="53" customFormat="1" ht="21" customHeight="1" x14ac:dyDescent="0.35">
      <c r="A82" s="560"/>
      <c r="B82" s="34">
        <v>10</v>
      </c>
      <c r="C82" s="573"/>
      <c r="D82" s="595" t="s">
        <v>116</v>
      </c>
      <c r="E82" s="528">
        <v>3</v>
      </c>
      <c r="F82" s="529">
        <v>298</v>
      </c>
      <c r="G82" s="469">
        <v>6</v>
      </c>
      <c r="H82" s="465">
        <v>200</v>
      </c>
      <c r="I82" s="469">
        <v>35</v>
      </c>
      <c r="J82" s="465">
        <f t="shared" si="44"/>
        <v>11.74496644295302</v>
      </c>
      <c r="K82" s="469">
        <v>33</v>
      </c>
      <c r="L82" s="465">
        <f t="shared" si="45"/>
        <v>11.073825503355705</v>
      </c>
      <c r="M82" s="578">
        <v>17</v>
      </c>
      <c r="N82" s="500">
        <f t="shared" si="46"/>
        <v>5.7046979865771812</v>
      </c>
      <c r="O82" s="529">
        <v>13</v>
      </c>
      <c r="P82" s="465">
        <f t="shared" si="47"/>
        <v>4.3624161073825505</v>
      </c>
      <c r="Q82" s="529">
        <v>0</v>
      </c>
      <c r="R82" s="469">
        <v>0</v>
      </c>
      <c r="S82" s="578">
        <v>0</v>
      </c>
      <c r="T82" s="501">
        <v>0</v>
      </c>
      <c r="U82" s="465">
        <f t="shared" si="48"/>
        <v>17.333333333333332</v>
      </c>
      <c r="V82" s="535">
        <f t="shared" si="49"/>
        <v>5.8165548098434003</v>
      </c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</row>
    <row r="83" spans="1:38" s="53" customFormat="1" ht="21" customHeight="1" x14ac:dyDescent="0.35">
      <c r="A83" s="560"/>
      <c r="B83" s="34">
        <v>11</v>
      </c>
      <c r="C83" s="573"/>
      <c r="D83" s="595" t="s">
        <v>117</v>
      </c>
      <c r="E83" s="528">
        <v>4</v>
      </c>
      <c r="F83" s="529">
        <v>183</v>
      </c>
      <c r="G83" s="469">
        <v>3</v>
      </c>
      <c r="H83" s="465">
        <v>75</v>
      </c>
      <c r="I83" s="469">
        <v>16</v>
      </c>
      <c r="J83" s="465">
        <f t="shared" si="44"/>
        <v>8.7431693989071047</v>
      </c>
      <c r="K83" s="469">
        <v>10</v>
      </c>
      <c r="L83" s="465">
        <f t="shared" si="45"/>
        <v>5.4644808743169397</v>
      </c>
      <c r="M83" s="578">
        <v>2</v>
      </c>
      <c r="N83" s="500">
        <f t="shared" si="46"/>
        <v>1.0928961748633881</v>
      </c>
      <c r="O83" s="529">
        <v>2</v>
      </c>
      <c r="P83" s="465">
        <f t="shared" si="47"/>
        <v>1.0928961748633881</v>
      </c>
      <c r="Q83" s="529">
        <v>0</v>
      </c>
      <c r="R83" s="469">
        <v>0</v>
      </c>
      <c r="S83" s="578">
        <v>0</v>
      </c>
      <c r="T83" s="501">
        <v>0</v>
      </c>
      <c r="U83" s="465">
        <f t="shared" si="48"/>
        <v>5.5</v>
      </c>
      <c r="V83" s="535">
        <f t="shared" si="49"/>
        <v>3.0054644808743167</v>
      </c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</row>
    <row r="84" spans="1:38" s="53" customFormat="1" ht="21" customHeight="1" x14ac:dyDescent="0.35">
      <c r="A84" s="560"/>
      <c r="B84" s="34">
        <v>12</v>
      </c>
      <c r="C84" s="573"/>
      <c r="D84" s="595" t="s">
        <v>118</v>
      </c>
      <c r="E84" s="528">
        <v>3</v>
      </c>
      <c r="F84" s="529">
        <v>145</v>
      </c>
      <c r="G84" s="469">
        <v>5</v>
      </c>
      <c r="H84" s="465">
        <v>166.66666666666669</v>
      </c>
      <c r="I84" s="469">
        <v>14</v>
      </c>
      <c r="J84" s="465">
        <f t="shared" si="44"/>
        <v>9.6551724137931032</v>
      </c>
      <c r="K84" s="469">
        <v>30</v>
      </c>
      <c r="L84" s="465">
        <f t="shared" si="45"/>
        <v>20.689655172413794</v>
      </c>
      <c r="M84" s="578">
        <v>11</v>
      </c>
      <c r="N84" s="500">
        <f t="shared" si="46"/>
        <v>7.5862068965517242</v>
      </c>
      <c r="O84" s="529">
        <v>8</v>
      </c>
      <c r="P84" s="465">
        <f t="shared" si="47"/>
        <v>5.5172413793103452</v>
      </c>
      <c r="Q84" s="529">
        <v>0</v>
      </c>
      <c r="R84" s="469">
        <v>0</v>
      </c>
      <c r="S84" s="578">
        <v>0</v>
      </c>
      <c r="T84" s="501">
        <v>0</v>
      </c>
      <c r="U84" s="465">
        <f t="shared" si="48"/>
        <v>11.333333333333334</v>
      </c>
      <c r="V84" s="535">
        <f t="shared" si="49"/>
        <v>7.8160919540229887</v>
      </c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</row>
    <row r="85" spans="1:38" s="53" customFormat="1" ht="21" customHeight="1" x14ac:dyDescent="0.35">
      <c r="A85" s="561"/>
      <c r="B85" s="95"/>
      <c r="C85" s="153" t="s">
        <v>2</v>
      </c>
      <c r="D85" s="124">
        <v>12</v>
      </c>
      <c r="E85" s="553">
        <f>SUM(E73:E84)</f>
        <v>52</v>
      </c>
      <c r="F85" s="553">
        <f>SUM(F73:F84)</f>
        <v>2616</v>
      </c>
      <c r="G85" s="553">
        <f>SUM(G73:G84)</f>
        <v>58</v>
      </c>
      <c r="H85" s="483">
        <f>G85/E85*100</f>
        <v>111.53846153846155</v>
      </c>
      <c r="I85" s="514">
        <f>SUM(I73:I84)</f>
        <v>365</v>
      </c>
      <c r="J85" s="493">
        <f t="shared" si="44"/>
        <v>13.952599388379205</v>
      </c>
      <c r="K85" s="514">
        <f>SUM(K73:K84)</f>
        <v>427</v>
      </c>
      <c r="L85" s="493">
        <f t="shared" si="45"/>
        <v>16.322629969418962</v>
      </c>
      <c r="M85" s="483">
        <f>SUM(M73:M84)</f>
        <v>282</v>
      </c>
      <c r="N85" s="533">
        <f t="shared" si="46"/>
        <v>10.779816513761469</v>
      </c>
      <c r="O85" s="514">
        <f>SUM(O73:O84)</f>
        <v>135</v>
      </c>
      <c r="P85" s="493">
        <f t="shared" si="47"/>
        <v>5.1605504587155968</v>
      </c>
      <c r="Q85" s="514">
        <v>0</v>
      </c>
      <c r="R85" s="514">
        <v>0</v>
      </c>
      <c r="S85" s="483">
        <v>0</v>
      </c>
      <c r="T85" s="516">
        <v>0</v>
      </c>
      <c r="U85" s="483">
        <f>SUM(U73:U84)</f>
        <v>211.16666666666669</v>
      </c>
      <c r="V85" s="537">
        <f t="shared" si="49"/>
        <v>8.0721202854230381</v>
      </c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</row>
    <row r="86" spans="1:38" s="53" customFormat="1" ht="21" customHeight="1" x14ac:dyDescent="0.35">
      <c r="A86" s="562">
        <v>7</v>
      </c>
      <c r="B86" s="32">
        <v>1</v>
      </c>
      <c r="C86" s="575" t="s">
        <v>126</v>
      </c>
      <c r="D86" s="335" t="s">
        <v>230</v>
      </c>
      <c r="E86" s="469">
        <v>4</v>
      </c>
      <c r="F86" s="498">
        <v>296</v>
      </c>
      <c r="G86" s="479">
        <v>4</v>
      </c>
      <c r="H86" s="465">
        <f>G86/F86*100</f>
        <v>1.3513513513513513</v>
      </c>
      <c r="I86" s="499">
        <v>296</v>
      </c>
      <c r="J86" s="465">
        <f>I86/F86*100</f>
        <v>100</v>
      </c>
      <c r="K86" s="479">
        <v>230</v>
      </c>
      <c r="L86" s="465">
        <f>K86/F86*100</f>
        <v>77.702702702702695</v>
      </c>
      <c r="M86" s="479">
        <v>230</v>
      </c>
      <c r="N86" s="500">
        <f>M86/F86*100</f>
        <v>77.702702702702695</v>
      </c>
      <c r="O86" s="498">
        <v>296</v>
      </c>
      <c r="P86" s="465">
        <f>O86/F86*100</f>
        <v>100</v>
      </c>
      <c r="Q86" s="479">
        <v>4</v>
      </c>
      <c r="R86" s="469">
        <f>Q86/E86*100</f>
        <v>100</v>
      </c>
      <c r="S86" s="480">
        <v>5</v>
      </c>
      <c r="T86" s="501">
        <f>S86/F86*100</f>
        <v>1.6891891891891893</v>
      </c>
      <c r="U86" s="479">
        <v>296</v>
      </c>
      <c r="V86" s="465">
        <f>U86/F86*100</f>
        <v>100</v>
      </c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</row>
    <row r="87" spans="1:38" s="53" customFormat="1" ht="21" customHeight="1" x14ac:dyDescent="0.35">
      <c r="A87" s="560"/>
      <c r="B87" s="34">
        <v>2</v>
      </c>
      <c r="C87" s="450"/>
      <c r="D87" s="335" t="s">
        <v>231</v>
      </c>
      <c r="E87" s="469">
        <v>2</v>
      </c>
      <c r="F87" s="498">
        <v>138</v>
      </c>
      <c r="G87" s="479">
        <v>2</v>
      </c>
      <c r="H87" s="465">
        <f>G87/F87*100</f>
        <v>1.4492753623188406</v>
      </c>
      <c r="I87" s="499">
        <v>138</v>
      </c>
      <c r="J87" s="465">
        <f t="shared" ref="J87:J96" si="50">I87/F87*100</f>
        <v>100</v>
      </c>
      <c r="K87" s="479">
        <v>80</v>
      </c>
      <c r="L87" s="465">
        <f t="shared" ref="L87:L92" si="51">K87/F87*100</f>
        <v>57.971014492753625</v>
      </c>
      <c r="M87" s="479">
        <v>80</v>
      </c>
      <c r="N87" s="500">
        <f t="shared" ref="N87:N95" si="52">M87/F87*100</f>
        <v>57.971014492753625</v>
      </c>
      <c r="O87" s="498">
        <v>138</v>
      </c>
      <c r="P87" s="465">
        <f t="shared" ref="P87:P95" si="53">O87/F87*100</f>
        <v>100</v>
      </c>
      <c r="Q87" s="479">
        <v>2</v>
      </c>
      <c r="R87" s="469">
        <f t="shared" ref="R87:R95" si="54">Q87/E87*100</f>
        <v>100</v>
      </c>
      <c r="S87" s="480">
        <v>4</v>
      </c>
      <c r="T87" s="501">
        <f t="shared" ref="T87:T95" si="55">S87/F87*100</f>
        <v>2.8985507246376812</v>
      </c>
      <c r="U87" s="479">
        <v>138</v>
      </c>
      <c r="V87" s="465">
        <f t="shared" ref="V87:V95" si="56">U87/F87*100</f>
        <v>100</v>
      </c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</row>
    <row r="88" spans="1:38" s="53" customFormat="1" ht="21" customHeight="1" x14ac:dyDescent="0.35">
      <c r="A88" s="560"/>
      <c r="B88" s="34">
        <v>3</v>
      </c>
      <c r="C88" s="450"/>
      <c r="D88" s="335" t="s">
        <v>232</v>
      </c>
      <c r="E88" s="469">
        <v>6</v>
      </c>
      <c r="F88" s="498">
        <v>274</v>
      </c>
      <c r="G88" s="479">
        <v>6</v>
      </c>
      <c r="H88" s="465">
        <f>G88/F88*100</f>
        <v>2.1897810218978102</v>
      </c>
      <c r="I88" s="499">
        <v>274</v>
      </c>
      <c r="J88" s="465">
        <f t="shared" si="50"/>
        <v>100</v>
      </c>
      <c r="K88" s="479">
        <v>269</v>
      </c>
      <c r="L88" s="465">
        <f t="shared" si="51"/>
        <v>98.175182481751818</v>
      </c>
      <c r="M88" s="479">
        <v>269</v>
      </c>
      <c r="N88" s="500">
        <f t="shared" si="52"/>
        <v>98.175182481751818</v>
      </c>
      <c r="O88" s="498">
        <v>274</v>
      </c>
      <c r="P88" s="465">
        <f t="shared" si="53"/>
        <v>100</v>
      </c>
      <c r="Q88" s="479">
        <v>6</v>
      </c>
      <c r="R88" s="469">
        <f t="shared" si="54"/>
        <v>100</v>
      </c>
      <c r="S88" s="480">
        <v>4</v>
      </c>
      <c r="T88" s="501">
        <f t="shared" si="55"/>
        <v>1.4598540145985401</v>
      </c>
      <c r="U88" s="479">
        <v>274</v>
      </c>
      <c r="V88" s="465">
        <f t="shared" si="56"/>
        <v>100</v>
      </c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</row>
    <row r="89" spans="1:38" s="53" customFormat="1" ht="21" customHeight="1" x14ac:dyDescent="0.35">
      <c r="A89" s="560"/>
      <c r="B89" s="34">
        <v>4</v>
      </c>
      <c r="C89" s="450"/>
      <c r="D89" s="335" t="s">
        <v>233</v>
      </c>
      <c r="E89" s="502">
        <v>2</v>
      </c>
      <c r="F89" s="503">
        <v>71</v>
      </c>
      <c r="G89" s="479">
        <v>2</v>
      </c>
      <c r="H89" s="465">
        <v>100</v>
      </c>
      <c r="I89" s="504">
        <v>71</v>
      </c>
      <c r="J89" s="465">
        <f t="shared" si="50"/>
        <v>100</v>
      </c>
      <c r="K89" s="479">
        <v>62</v>
      </c>
      <c r="L89" s="465">
        <f t="shared" si="51"/>
        <v>87.323943661971825</v>
      </c>
      <c r="M89" s="479">
        <v>62</v>
      </c>
      <c r="N89" s="500">
        <f t="shared" si="52"/>
        <v>87.323943661971825</v>
      </c>
      <c r="O89" s="503">
        <v>71</v>
      </c>
      <c r="P89" s="465">
        <f t="shared" si="53"/>
        <v>100</v>
      </c>
      <c r="Q89" s="469">
        <v>0</v>
      </c>
      <c r="R89" s="469">
        <f t="shared" si="54"/>
        <v>0</v>
      </c>
      <c r="S89" s="480">
        <v>5</v>
      </c>
      <c r="T89" s="501">
        <f t="shared" si="55"/>
        <v>7.042253521126761</v>
      </c>
      <c r="U89" s="479">
        <v>71</v>
      </c>
      <c r="V89" s="465">
        <f t="shared" si="56"/>
        <v>100</v>
      </c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</row>
    <row r="90" spans="1:38" s="53" customFormat="1" ht="21" customHeight="1" x14ac:dyDescent="0.35">
      <c r="A90" s="560"/>
      <c r="B90" s="34">
        <v>5</v>
      </c>
      <c r="C90" s="450"/>
      <c r="D90" s="335" t="s">
        <v>239</v>
      </c>
      <c r="E90" s="502">
        <v>4</v>
      </c>
      <c r="F90" s="503">
        <v>355</v>
      </c>
      <c r="G90" s="479">
        <v>4</v>
      </c>
      <c r="H90" s="465">
        <v>100</v>
      </c>
      <c r="I90" s="505">
        <v>355</v>
      </c>
      <c r="J90" s="465">
        <f t="shared" si="50"/>
        <v>100</v>
      </c>
      <c r="K90" s="479">
        <v>285</v>
      </c>
      <c r="L90" s="465">
        <f t="shared" si="51"/>
        <v>80.281690140845072</v>
      </c>
      <c r="M90" s="479">
        <v>285</v>
      </c>
      <c r="N90" s="500">
        <f t="shared" si="52"/>
        <v>80.281690140845072</v>
      </c>
      <c r="O90" s="505">
        <v>355</v>
      </c>
      <c r="P90" s="465">
        <f t="shared" si="53"/>
        <v>100</v>
      </c>
      <c r="Q90" s="469">
        <v>0</v>
      </c>
      <c r="R90" s="469">
        <f t="shared" si="54"/>
        <v>0</v>
      </c>
      <c r="S90" s="480">
        <v>5</v>
      </c>
      <c r="T90" s="501">
        <f t="shared" si="55"/>
        <v>1.4084507042253522</v>
      </c>
      <c r="U90" s="479">
        <v>355</v>
      </c>
      <c r="V90" s="465">
        <f t="shared" si="56"/>
        <v>100</v>
      </c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</row>
    <row r="91" spans="1:38" s="53" customFormat="1" ht="21" customHeight="1" x14ac:dyDescent="0.35">
      <c r="A91" s="560"/>
      <c r="B91" s="34">
        <v>6</v>
      </c>
      <c r="C91" s="450"/>
      <c r="D91" s="335" t="s">
        <v>240</v>
      </c>
      <c r="E91" s="559">
        <v>1</v>
      </c>
      <c r="F91" s="507">
        <v>154</v>
      </c>
      <c r="G91" s="469">
        <v>0</v>
      </c>
      <c r="H91" s="508">
        <f>G91/E91/F91</f>
        <v>0</v>
      </c>
      <c r="I91" s="484">
        <v>0</v>
      </c>
      <c r="J91" s="465">
        <f t="shared" si="50"/>
        <v>0</v>
      </c>
      <c r="K91" s="484"/>
      <c r="L91" s="465">
        <f t="shared" si="51"/>
        <v>0</v>
      </c>
      <c r="M91" s="509">
        <v>0</v>
      </c>
      <c r="N91" s="500">
        <f t="shared" si="52"/>
        <v>0</v>
      </c>
      <c r="O91" s="509">
        <v>0</v>
      </c>
      <c r="P91" s="465">
        <f t="shared" si="53"/>
        <v>0</v>
      </c>
      <c r="Q91" s="469">
        <v>0</v>
      </c>
      <c r="R91" s="469">
        <f t="shared" si="54"/>
        <v>0</v>
      </c>
      <c r="S91" s="469">
        <f t="shared" ref="S91" si="57">R91/F91*100</f>
        <v>0</v>
      </c>
      <c r="T91" s="501">
        <f t="shared" si="55"/>
        <v>0</v>
      </c>
      <c r="U91" s="469">
        <v>0</v>
      </c>
      <c r="V91" s="465">
        <f t="shared" si="56"/>
        <v>0</v>
      </c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</row>
    <row r="92" spans="1:38" s="53" customFormat="1" ht="21" customHeight="1" x14ac:dyDescent="0.35">
      <c r="A92" s="560"/>
      <c r="B92" s="30"/>
      <c r="C92" s="450"/>
      <c r="D92" s="335" t="s">
        <v>235</v>
      </c>
      <c r="E92" s="502">
        <v>4</v>
      </c>
      <c r="F92" s="503">
        <v>187</v>
      </c>
      <c r="G92" s="479">
        <v>4</v>
      </c>
      <c r="H92" s="465">
        <f t="shared" ref="H92" si="58">G92/E92*100</f>
        <v>100</v>
      </c>
      <c r="I92" s="505">
        <v>178</v>
      </c>
      <c r="J92" s="465">
        <f t="shared" si="50"/>
        <v>95.18716577540107</v>
      </c>
      <c r="K92" s="479">
        <v>90</v>
      </c>
      <c r="L92" s="465">
        <f t="shared" si="51"/>
        <v>48.128342245989302</v>
      </c>
      <c r="M92" s="479">
        <v>90</v>
      </c>
      <c r="N92" s="500">
        <f t="shared" si="52"/>
        <v>48.128342245989302</v>
      </c>
      <c r="O92" s="505">
        <v>178</v>
      </c>
      <c r="P92" s="465">
        <f t="shared" si="53"/>
        <v>95.18716577540107</v>
      </c>
      <c r="Q92" s="469">
        <v>0</v>
      </c>
      <c r="R92" s="469">
        <f t="shared" si="54"/>
        <v>0</v>
      </c>
      <c r="S92" s="480">
        <v>4</v>
      </c>
      <c r="T92" s="501">
        <f t="shared" si="55"/>
        <v>2.1390374331550799</v>
      </c>
      <c r="U92" s="479">
        <v>187</v>
      </c>
      <c r="V92" s="465">
        <f t="shared" si="56"/>
        <v>100</v>
      </c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</row>
    <row r="93" spans="1:38" s="53" customFormat="1" ht="21" customHeight="1" x14ac:dyDescent="0.35">
      <c r="A93" s="560"/>
      <c r="B93" s="34">
        <v>7</v>
      </c>
      <c r="C93" s="450"/>
      <c r="D93" s="580" t="s">
        <v>236</v>
      </c>
      <c r="E93" s="502">
        <v>2</v>
      </c>
      <c r="F93" s="503">
        <v>68</v>
      </c>
      <c r="G93" s="479">
        <v>1</v>
      </c>
      <c r="H93" s="465">
        <f>G93/F93*100</f>
        <v>1.4705882352941175</v>
      </c>
      <c r="I93" s="505">
        <v>30</v>
      </c>
      <c r="J93" s="465">
        <f t="shared" si="50"/>
        <v>44.117647058823529</v>
      </c>
      <c r="K93" s="479">
        <v>22</v>
      </c>
      <c r="L93" s="465">
        <v>0</v>
      </c>
      <c r="M93" s="479">
        <v>22</v>
      </c>
      <c r="N93" s="500">
        <f t="shared" si="52"/>
        <v>32.352941176470587</v>
      </c>
      <c r="O93" s="505">
        <v>30</v>
      </c>
      <c r="P93" s="465">
        <f t="shared" si="53"/>
        <v>44.117647058823529</v>
      </c>
      <c r="Q93" s="469">
        <v>0</v>
      </c>
      <c r="R93" s="469">
        <f t="shared" si="54"/>
        <v>0</v>
      </c>
      <c r="S93" s="480">
        <v>2</v>
      </c>
      <c r="T93" s="501">
        <f t="shared" si="55"/>
        <v>2.9411764705882351</v>
      </c>
      <c r="U93" s="479">
        <v>65</v>
      </c>
      <c r="V93" s="465">
        <f t="shared" si="56"/>
        <v>95.588235294117652</v>
      </c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</row>
    <row r="94" spans="1:38" s="53" customFormat="1" ht="21" customHeight="1" x14ac:dyDescent="0.35">
      <c r="A94" s="560"/>
      <c r="B94" s="34">
        <v>8</v>
      </c>
      <c r="C94" s="450"/>
      <c r="D94" s="581" t="s">
        <v>237</v>
      </c>
      <c r="E94" s="502">
        <v>4</v>
      </c>
      <c r="F94" s="503">
        <v>189</v>
      </c>
      <c r="G94" s="479">
        <v>1</v>
      </c>
      <c r="H94" s="465">
        <f>G94/F94*100</f>
        <v>0.52910052910052907</v>
      </c>
      <c r="I94" s="505">
        <v>185</v>
      </c>
      <c r="J94" s="465">
        <f t="shared" si="50"/>
        <v>97.883597883597886</v>
      </c>
      <c r="K94" s="479">
        <v>80</v>
      </c>
      <c r="L94" s="469">
        <v>0</v>
      </c>
      <c r="M94" s="479">
        <v>80</v>
      </c>
      <c r="N94" s="500">
        <f t="shared" si="52"/>
        <v>42.328042328042329</v>
      </c>
      <c r="O94" s="505">
        <v>185</v>
      </c>
      <c r="P94" s="465">
        <f t="shared" si="53"/>
        <v>97.883597883597886</v>
      </c>
      <c r="Q94" s="469">
        <v>0</v>
      </c>
      <c r="R94" s="469">
        <f t="shared" si="54"/>
        <v>0</v>
      </c>
      <c r="S94" s="480">
        <v>3</v>
      </c>
      <c r="T94" s="501">
        <f t="shared" si="55"/>
        <v>1.5873015873015872</v>
      </c>
      <c r="U94" s="479">
        <v>189</v>
      </c>
      <c r="V94" s="465">
        <f t="shared" si="56"/>
        <v>100</v>
      </c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</row>
    <row r="95" spans="1:38" s="53" customFormat="1" ht="21" customHeight="1" x14ac:dyDescent="0.35">
      <c r="A95" s="560"/>
      <c r="B95" s="34">
        <v>9</v>
      </c>
      <c r="C95" s="450"/>
      <c r="D95" s="582" t="s">
        <v>238</v>
      </c>
      <c r="E95" s="502">
        <v>4</v>
      </c>
      <c r="F95" s="503">
        <v>384</v>
      </c>
      <c r="G95" s="479">
        <v>3</v>
      </c>
      <c r="H95" s="465">
        <f>G95/F95*100</f>
        <v>0.78125</v>
      </c>
      <c r="I95" s="505">
        <v>340</v>
      </c>
      <c r="J95" s="465">
        <f t="shared" si="50"/>
        <v>88.541666666666657</v>
      </c>
      <c r="K95" s="479">
        <v>210</v>
      </c>
      <c r="L95" s="469">
        <v>0</v>
      </c>
      <c r="M95" s="479">
        <v>210</v>
      </c>
      <c r="N95" s="500">
        <f t="shared" si="52"/>
        <v>54.6875</v>
      </c>
      <c r="O95" s="505">
        <v>340</v>
      </c>
      <c r="P95" s="465">
        <f t="shared" si="53"/>
        <v>88.541666666666657</v>
      </c>
      <c r="Q95" s="469">
        <v>0</v>
      </c>
      <c r="R95" s="469">
        <f t="shared" si="54"/>
        <v>0</v>
      </c>
      <c r="S95" s="480">
        <v>3</v>
      </c>
      <c r="T95" s="501">
        <f t="shared" si="55"/>
        <v>0.78125</v>
      </c>
      <c r="U95" s="479">
        <v>295</v>
      </c>
      <c r="V95" s="465">
        <f t="shared" si="56"/>
        <v>76.822916666666657</v>
      </c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</row>
    <row r="96" spans="1:38" s="53" customFormat="1" ht="21" customHeight="1" x14ac:dyDescent="0.35">
      <c r="A96" s="561"/>
      <c r="B96" s="124"/>
      <c r="C96" s="510" t="s">
        <v>2</v>
      </c>
      <c r="D96" s="124">
        <v>9</v>
      </c>
      <c r="E96" s="515">
        <f>SUM(E86:E95)</f>
        <v>33</v>
      </c>
      <c r="F96" s="515">
        <f>SUM(F86:F95)</f>
        <v>2116</v>
      </c>
      <c r="G96" s="515">
        <f>SUM(G86:G95)</f>
        <v>27</v>
      </c>
      <c r="H96" s="483">
        <f>G96/E96*100</f>
        <v>81.818181818181827</v>
      </c>
      <c r="I96" s="511">
        <f>SUM(I86:I95)</f>
        <v>1867</v>
      </c>
      <c r="J96" s="493">
        <f t="shared" si="50"/>
        <v>88.232514177693773</v>
      </c>
      <c r="K96" s="511">
        <f>SUM(K86:K95)</f>
        <v>1328</v>
      </c>
      <c r="L96" s="483">
        <f>K96/F96*100</f>
        <v>62.759924385633269</v>
      </c>
      <c r="M96" s="512">
        <f>SUM(M86:M95)</f>
        <v>1328</v>
      </c>
      <c r="N96" s="513">
        <f>M96/F96*100</f>
        <v>62.759924385633269</v>
      </c>
      <c r="O96" s="511">
        <f>SUM(O86:O95)</f>
        <v>1867</v>
      </c>
      <c r="P96" s="483">
        <f>O96/F96*100</f>
        <v>88.232514177693773</v>
      </c>
      <c r="Q96" s="515">
        <f>SUM(Q86:Q95)</f>
        <v>12</v>
      </c>
      <c r="R96" s="514">
        <f>Q96/F96*100</f>
        <v>0.56710775047258988</v>
      </c>
      <c r="S96" s="515">
        <f>SUM(S86:S95)</f>
        <v>35</v>
      </c>
      <c r="T96" s="516">
        <f>S96/F96*100</f>
        <v>1.65406427221172</v>
      </c>
      <c r="U96" s="515">
        <f>SUM(U86:U95)</f>
        <v>1870</v>
      </c>
      <c r="V96" s="483">
        <f>U96/F96*100</f>
        <v>88.374291115311905</v>
      </c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</row>
    <row r="97" spans="1:38" s="53" customFormat="1" ht="21" customHeight="1" x14ac:dyDescent="0.35">
      <c r="A97" s="562">
        <v>8</v>
      </c>
      <c r="B97" s="32">
        <v>1</v>
      </c>
      <c r="C97" s="575" t="s">
        <v>127</v>
      </c>
      <c r="D97" s="335" t="s">
        <v>128</v>
      </c>
      <c r="E97" s="478">
        <v>6</v>
      </c>
      <c r="F97" s="469">
        <v>434</v>
      </c>
      <c r="G97" s="479">
        <v>6</v>
      </c>
      <c r="H97" s="480">
        <f>G97/E97*100</f>
        <v>100</v>
      </c>
      <c r="I97" s="484">
        <v>342</v>
      </c>
      <c r="J97" s="480">
        <v>42.626728110599075</v>
      </c>
      <c r="K97" s="484">
        <v>380</v>
      </c>
      <c r="L97" s="480">
        <v>100</v>
      </c>
      <c r="M97" s="484">
        <v>28</v>
      </c>
      <c r="N97" s="481">
        <v>22.58064516129032</v>
      </c>
      <c r="O97" s="484">
        <v>43</v>
      </c>
      <c r="P97" s="480">
        <v>4.6082949308755765</v>
      </c>
      <c r="Q97" s="479">
        <v>0</v>
      </c>
      <c r="R97" s="479">
        <v>0</v>
      </c>
      <c r="S97" s="485">
        <v>92</v>
      </c>
      <c r="T97" s="482">
        <v>35.023041474654377</v>
      </c>
      <c r="U97" s="484">
        <v>434</v>
      </c>
      <c r="V97" s="480">
        <f>U97/F97*100</f>
        <v>100</v>
      </c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</row>
    <row r="98" spans="1:38" s="53" customFormat="1" ht="21" customHeight="1" x14ac:dyDescent="0.35">
      <c r="A98" s="560"/>
      <c r="B98" s="34">
        <v>2</v>
      </c>
      <c r="C98" s="450"/>
      <c r="D98" s="335" t="s">
        <v>129</v>
      </c>
      <c r="E98" s="478">
        <v>3</v>
      </c>
      <c r="F98" s="469">
        <v>160</v>
      </c>
      <c r="G98" s="479">
        <v>3</v>
      </c>
      <c r="H98" s="480">
        <f t="shared" ref="H98:H105" si="59">G98/E98*100</f>
        <v>100</v>
      </c>
      <c r="I98" s="484">
        <v>143</v>
      </c>
      <c r="J98" s="480">
        <v>64.375</v>
      </c>
      <c r="K98" s="484">
        <v>140</v>
      </c>
      <c r="L98" s="480">
        <v>100</v>
      </c>
      <c r="M98" s="484">
        <v>24</v>
      </c>
      <c r="N98" s="481">
        <v>44.375</v>
      </c>
      <c r="O98" s="484">
        <f t="shared" ref="O98:O102" si="60">F98*10%</f>
        <v>16</v>
      </c>
      <c r="P98" s="480">
        <v>12.5</v>
      </c>
      <c r="Q98" s="479">
        <v>0</v>
      </c>
      <c r="R98" s="479">
        <v>0</v>
      </c>
      <c r="S98" s="485">
        <v>50</v>
      </c>
      <c r="T98" s="482">
        <v>60.624999999999993</v>
      </c>
      <c r="U98" s="484">
        <v>90</v>
      </c>
      <c r="V98" s="480">
        <f t="shared" ref="V98:V105" si="61">U98/F98*100</f>
        <v>56.25</v>
      </c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</row>
    <row r="99" spans="1:38" s="53" customFormat="1" ht="21" customHeight="1" x14ac:dyDescent="0.35">
      <c r="A99" s="560"/>
      <c r="B99" s="34">
        <v>3</v>
      </c>
      <c r="C99" s="450"/>
      <c r="D99" s="335" t="s">
        <v>130</v>
      </c>
      <c r="E99" s="478">
        <v>5</v>
      </c>
      <c r="F99" s="469">
        <v>183</v>
      </c>
      <c r="G99" s="479">
        <v>5</v>
      </c>
      <c r="H99" s="480">
        <f t="shared" si="59"/>
        <v>100</v>
      </c>
      <c r="I99" s="484">
        <v>183</v>
      </c>
      <c r="J99" s="480">
        <v>59.562841530054641</v>
      </c>
      <c r="K99" s="484">
        <v>153</v>
      </c>
      <c r="L99" s="480">
        <v>100</v>
      </c>
      <c r="M99" s="484">
        <v>30</v>
      </c>
      <c r="N99" s="481">
        <v>40.437158469945359</v>
      </c>
      <c r="O99" s="484">
        <v>15</v>
      </c>
      <c r="P99" s="480">
        <v>10.928961748633879</v>
      </c>
      <c r="Q99" s="479">
        <v>5</v>
      </c>
      <c r="R99" s="479">
        <v>100</v>
      </c>
      <c r="S99" s="485">
        <v>34</v>
      </c>
      <c r="T99" s="482">
        <v>55.737704918032783</v>
      </c>
      <c r="U99" s="484">
        <v>143</v>
      </c>
      <c r="V99" s="480">
        <f t="shared" si="61"/>
        <v>78.142076502732237</v>
      </c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</row>
    <row r="100" spans="1:38" s="53" customFormat="1" ht="21" customHeight="1" x14ac:dyDescent="0.35">
      <c r="A100" s="560"/>
      <c r="B100" s="34">
        <v>4</v>
      </c>
      <c r="C100" s="450"/>
      <c r="D100" s="335" t="s">
        <v>131</v>
      </c>
      <c r="E100" s="478">
        <v>4</v>
      </c>
      <c r="F100" s="469">
        <v>354</v>
      </c>
      <c r="G100" s="479">
        <v>4</v>
      </c>
      <c r="H100" s="480">
        <f t="shared" si="59"/>
        <v>100</v>
      </c>
      <c r="I100" s="484">
        <v>256</v>
      </c>
      <c r="J100" s="480">
        <v>45.48022598870056</v>
      </c>
      <c r="K100" s="484">
        <v>300</v>
      </c>
      <c r="L100" s="480">
        <v>100</v>
      </c>
      <c r="M100" s="484">
        <v>15</v>
      </c>
      <c r="N100" s="481">
        <v>25.423728813559322</v>
      </c>
      <c r="O100" s="484">
        <v>30</v>
      </c>
      <c r="P100" s="480">
        <v>5.6497175141242941</v>
      </c>
      <c r="Q100" s="479">
        <v>0</v>
      </c>
      <c r="R100" s="479">
        <v>0</v>
      </c>
      <c r="S100" s="485">
        <v>31</v>
      </c>
      <c r="T100" s="482">
        <v>38.700564971751412</v>
      </c>
      <c r="U100" s="484">
        <v>118</v>
      </c>
      <c r="V100" s="480">
        <f t="shared" si="61"/>
        <v>33.333333333333329</v>
      </c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</row>
    <row r="101" spans="1:38" s="53" customFormat="1" ht="21" customHeight="1" x14ac:dyDescent="0.35">
      <c r="A101" s="560"/>
      <c r="B101" s="34">
        <v>5</v>
      </c>
      <c r="C101" s="450"/>
      <c r="D101" s="335" t="s">
        <v>132</v>
      </c>
      <c r="E101" s="478">
        <v>5</v>
      </c>
      <c r="F101" s="469">
        <v>407</v>
      </c>
      <c r="G101" s="479">
        <v>5</v>
      </c>
      <c r="H101" s="480">
        <f t="shared" si="59"/>
        <v>100</v>
      </c>
      <c r="I101" s="484">
        <v>289</v>
      </c>
      <c r="J101" s="480">
        <v>43.488943488943491</v>
      </c>
      <c r="K101" s="484">
        <v>360</v>
      </c>
      <c r="L101" s="480">
        <v>100</v>
      </c>
      <c r="M101" s="484">
        <v>12</v>
      </c>
      <c r="N101" s="481">
        <v>23.341523341523342</v>
      </c>
      <c r="O101" s="484">
        <v>38</v>
      </c>
      <c r="P101" s="480">
        <v>23.587223587223587</v>
      </c>
      <c r="Q101" s="479">
        <v>5</v>
      </c>
      <c r="R101" s="479">
        <v>100</v>
      </c>
      <c r="S101" s="485">
        <v>37</v>
      </c>
      <c r="T101" s="482">
        <v>35.872235872235876</v>
      </c>
      <c r="U101" s="484">
        <v>85</v>
      </c>
      <c r="V101" s="480">
        <f t="shared" si="61"/>
        <v>20.884520884520885</v>
      </c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</row>
    <row r="102" spans="1:38" s="53" customFormat="1" ht="21" customHeight="1" x14ac:dyDescent="0.35">
      <c r="A102" s="560"/>
      <c r="B102" s="34">
        <v>6</v>
      </c>
      <c r="C102" s="450"/>
      <c r="D102" s="335" t="s">
        <v>133</v>
      </c>
      <c r="E102" s="478">
        <v>7</v>
      </c>
      <c r="F102" s="469">
        <v>260</v>
      </c>
      <c r="G102" s="479">
        <v>7</v>
      </c>
      <c r="H102" s="480">
        <f t="shared" si="59"/>
        <v>100</v>
      </c>
      <c r="I102" s="484">
        <f t="shared" ref="I102" si="62">F102*80%</f>
        <v>208</v>
      </c>
      <c r="J102" s="480">
        <v>51.153846153846146</v>
      </c>
      <c r="K102" s="484">
        <v>200</v>
      </c>
      <c r="L102" s="480">
        <v>100</v>
      </c>
      <c r="M102" s="484">
        <v>29</v>
      </c>
      <c r="N102" s="481">
        <v>31.153846153846153</v>
      </c>
      <c r="O102" s="484">
        <f t="shared" si="60"/>
        <v>26</v>
      </c>
      <c r="P102" s="480">
        <v>31.153846153846153</v>
      </c>
      <c r="Q102" s="479">
        <v>0</v>
      </c>
      <c r="R102" s="479">
        <v>0</v>
      </c>
      <c r="S102" s="485">
        <v>73</v>
      </c>
      <c r="T102" s="482">
        <v>45</v>
      </c>
      <c r="U102" s="484">
        <v>215</v>
      </c>
      <c r="V102" s="480">
        <f t="shared" si="61"/>
        <v>82.692307692307693</v>
      </c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</row>
    <row r="103" spans="1:38" s="53" customFormat="1" ht="21" customHeight="1" x14ac:dyDescent="0.35">
      <c r="A103" s="560"/>
      <c r="B103" s="34">
        <v>7</v>
      </c>
      <c r="C103" s="450"/>
      <c r="D103" s="335" t="s">
        <v>134</v>
      </c>
      <c r="E103" s="478">
        <v>5</v>
      </c>
      <c r="F103" s="469">
        <v>228</v>
      </c>
      <c r="G103" s="479">
        <v>5</v>
      </c>
      <c r="H103" s="480">
        <f t="shared" si="59"/>
        <v>100</v>
      </c>
      <c r="I103" s="484">
        <v>180</v>
      </c>
      <c r="J103" s="480">
        <v>54.222222222222229</v>
      </c>
      <c r="K103" s="484">
        <v>197</v>
      </c>
      <c r="L103" s="480">
        <v>100</v>
      </c>
      <c r="M103" s="484">
        <v>21</v>
      </c>
      <c r="N103" s="481">
        <v>34.222222222222221</v>
      </c>
      <c r="O103" s="484">
        <v>21</v>
      </c>
      <c r="P103" s="480">
        <v>34.666666666666671</v>
      </c>
      <c r="Q103" s="479">
        <v>0</v>
      </c>
      <c r="R103" s="479">
        <v>0</v>
      </c>
      <c r="S103" s="485">
        <v>86</v>
      </c>
      <c r="T103" s="482">
        <v>48.888888888888886</v>
      </c>
      <c r="U103" s="484">
        <v>225</v>
      </c>
      <c r="V103" s="480">
        <f t="shared" si="61"/>
        <v>98.68421052631578</v>
      </c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</row>
    <row r="104" spans="1:38" s="53" customFormat="1" ht="21" customHeight="1" x14ac:dyDescent="0.35">
      <c r="A104" s="560"/>
      <c r="B104" s="34">
        <v>8</v>
      </c>
      <c r="C104" s="450"/>
      <c r="D104" s="335" t="s">
        <v>135</v>
      </c>
      <c r="E104" s="478">
        <v>12</v>
      </c>
      <c r="F104" s="469">
        <v>404</v>
      </c>
      <c r="G104" s="479">
        <v>12</v>
      </c>
      <c r="H104" s="480">
        <f t="shared" si="59"/>
        <v>100</v>
      </c>
      <c r="I104" s="484">
        <v>300</v>
      </c>
      <c r="J104" s="480">
        <v>43.75</v>
      </c>
      <c r="K104" s="484">
        <v>359</v>
      </c>
      <c r="L104" s="480">
        <v>100</v>
      </c>
      <c r="M104" s="484">
        <v>20</v>
      </c>
      <c r="N104" s="481">
        <v>23.75</v>
      </c>
      <c r="O104" s="484">
        <v>29</v>
      </c>
      <c r="P104" s="480">
        <v>23.75</v>
      </c>
      <c r="Q104" s="479">
        <v>0</v>
      </c>
      <c r="R104" s="479">
        <v>0</v>
      </c>
      <c r="S104" s="485">
        <v>97</v>
      </c>
      <c r="T104" s="482">
        <v>36.25</v>
      </c>
      <c r="U104" s="484">
        <v>165</v>
      </c>
      <c r="V104" s="480">
        <f t="shared" si="61"/>
        <v>40.841584158415841</v>
      </c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</row>
    <row r="105" spans="1:38" s="53" customFormat="1" ht="21" customHeight="1" x14ac:dyDescent="0.35">
      <c r="A105" s="560"/>
      <c r="B105" s="34">
        <v>9</v>
      </c>
      <c r="C105" s="450"/>
      <c r="D105" s="335" t="s">
        <v>136</v>
      </c>
      <c r="E105" s="478">
        <v>5</v>
      </c>
      <c r="F105" s="469">
        <v>204</v>
      </c>
      <c r="G105" s="479">
        <v>5</v>
      </c>
      <c r="H105" s="480">
        <f t="shared" si="59"/>
        <v>100</v>
      </c>
      <c r="I105" s="484">
        <v>148</v>
      </c>
      <c r="J105" s="480">
        <v>56.19047619047619</v>
      </c>
      <c r="K105" s="484">
        <v>180</v>
      </c>
      <c r="L105" s="480">
        <v>100</v>
      </c>
      <c r="M105" s="484">
        <v>16</v>
      </c>
      <c r="N105" s="481">
        <v>36.19047619047619</v>
      </c>
      <c r="O105" s="484">
        <v>20</v>
      </c>
      <c r="P105" s="480">
        <v>36.19047619047619</v>
      </c>
      <c r="Q105" s="479">
        <v>5</v>
      </c>
      <c r="R105" s="479">
        <v>100</v>
      </c>
      <c r="S105" s="485">
        <v>56</v>
      </c>
      <c r="T105" s="482">
        <v>50.952380952380949</v>
      </c>
      <c r="U105" s="484">
        <v>110</v>
      </c>
      <c r="V105" s="480">
        <f t="shared" si="61"/>
        <v>53.921568627450981</v>
      </c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</row>
    <row r="106" spans="1:38" s="53" customFormat="1" ht="21" customHeight="1" x14ac:dyDescent="0.35">
      <c r="A106" s="561"/>
      <c r="B106" s="95"/>
      <c r="C106" s="153" t="s">
        <v>2</v>
      </c>
      <c r="D106" s="95">
        <v>9</v>
      </c>
      <c r="E106" s="147">
        <f>SUM(E97:E105)</f>
        <v>52</v>
      </c>
      <c r="F106" s="147">
        <f t="shared" ref="F106:G106" si="63">SUM(F97:F105)</f>
        <v>2634</v>
      </c>
      <c r="G106" s="155">
        <f t="shared" si="63"/>
        <v>52</v>
      </c>
      <c r="H106" s="156">
        <f>G106/E106*100</f>
        <v>100</v>
      </c>
      <c r="I106" s="486">
        <f>SUM(I97:I105)</f>
        <v>2049</v>
      </c>
      <c r="J106" s="149">
        <f>I106/F106*100</f>
        <v>77.790432801822334</v>
      </c>
      <c r="K106" s="486">
        <f>SUM(K97:K105)</f>
        <v>2269</v>
      </c>
      <c r="L106" s="149">
        <f>K106/F106*100</f>
        <v>86.142748671222478</v>
      </c>
      <c r="M106" s="487">
        <f>SUM(M97:M105)</f>
        <v>195</v>
      </c>
      <c r="N106" s="150">
        <f>M106/F106*100</f>
        <v>7.403189066059225</v>
      </c>
      <c r="O106" s="487">
        <f>SUM(O97:O105)</f>
        <v>238</v>
      </c>
      <c r="P106" s="149">
        <f>O106/F106*100</f>
        <v>9.0356871678056194</v>
      </c>
      <c r="Q106" s="148">
        <f>SUM(Q97:Q105)</f>
        <v>15</v>
      </c>
      <c r="R106" s="150">
        <f>Q106/F106*100</f>
        <v>0.56947608200455579</v>
      </c>
      <c r="S106" s="149">
        <f>SUM(S97:S105)</f>
        <v>556</v>
      </c>
      <c r="T106" s="151">
        <f>S106/F106*100</f>
        <v>21.108580106302202</v>
      </c>
      <c r="U106" s="483">
        <f>SUM(U97:U105)</f>
        <v>1585</v>
      </c>
      <c r="V106" s="483">
        <f>U106/F106*100</f>
        <v>60.174639331814731</v>
      </c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</row>
    <row r="107" spans="1:38" s="53" customFormat="1" ht="21" customHeight="1" x14ac:dyDescent="0.35">
      <c r="A107" s="562">
        <v>9</v>
      </c>
      <c r="B107" s="32">
        <v>1</v>
      </c>
      <c r="C107" s="569" t="s">
        <v>137</v>
      </c>
      <c r="D107" s="656" t="s">
        <v>138</v>
      </c>
      <c r="E107" s="506">
        <v>11</v>
      </c>
      <c r="F107" s="495">
        <v>635</v>
      </c>
      <c r="G107" s="469">
        <v>5</v>
      </c>
      <c r="H107" s="505">
        <f>G107/E107*100</f>
        <v>45.454545454545453</v>
      </c>
      <c r="I107" s="479">
        <v>635</v>
      </c>
      <c r="J107" s="465">
        <f>I107/F107*100</f>
        <v>100</v>
      </c>
      <c r="K107" s="484">
        <v>219</v>
      </c>
      <c r="L107" s="465">
        <f>K107/F107*100</f>
        <v>34.488188976377955</v>
      </c>
      <c r="M107" s="657">
        <v>442</v>
      </c>
      <c r="N107" s="500">
        <f>M107/F107*100</f>
        <v>69.606299212598415</v>
      </c>
      <c r="O107" s="509">
        <v>80</v>
      </c>
      <c r="P107" s="465">
        <f>O107/F107*100</f>
        <v>12.598425196850393</v>
      </c>
      <c r="Q107" s="506">
        <v>11</v>
      </c>
      <c r="R107" s="469">
        <f>Q107/E107*100</f>
        <v>100</v>
      </c>
      <c r="S107" s="465">
        <v>0</v>
      </c>
      <c r="T107" s="465">
        <v>0</v>
      </c>
      <c r="U107" s="495">
        <v>635</v>
      </c>
      <c r="V107" s="465">
        <f>U107/F107*100</f>
        <v>100</v>
      </c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</row>
    <row r="108" spans="1:38" s="53" customFormat="1" ht="21" customHeight="1" x14ac:dyDescent="0.35">
      <c r="A108" s="560"/>
      <c r="B108" s="34">
        <v>2</v>
      </c>
      <c r="C108" s="450"/>
      <c r="D108" s="656" t="s">
        <v>139</v>
      </c>
      <c r="E108" s="506">
        <v>5</v>
      </c>
      <c r="F108" s="460">
        <v>236</v>
      </c>
      <c r="G108" s="469">
        <v>4</v>
      </c>
      <c r="H108" s="505">
        <f t="shared" ref="H108:H119" si="64">G108/E108*100</f>
        <v>80</v>
      </c>
      <c r="I108" s="479">
        <v>236</v>
      </c>
      <c r="J108" s="465">
        <f t="shared" ref="J108:J119" si="65">I108/F108*100</f>
        <v>100</v>
      </c>
      <c r="K108" s="484">
        <v>116</v>
      </c>
      <c r="L108" s="465">
        <f t="shared" ref="L108:L119" si="66">K108/F108*100</f>
        <v>49.152542372881356</v>
      </c>
      <c r="M108" s="658">
        <v>97</v>
      </c>
      <c r="N108" s="500">
        <f t="shared" ref="N108:N119" si="67">M108/F108*100</f>
        <v>41.101694915254242</v>
      </c>
      <c r="O108" s="509">
        <v>45</v>
      </c>
      <c r="P108" s="465">
        <f t="shared" ref="P108:P119" si="68">O108/F108*100</f>
        <v>19.067796610169491</v>
      </c>
      <c r="Q108" s="506">
        <v>5</v>
      </c>
      <c r="R108" s="469">
        <f t="shared" ref="R108:R120" si="69">Q108/E108*100</f>
        <v>100</v>
      </c>
      <c r="S108" s="465">
        <v>0</v>
      </c>
      <c r="T108" s="465">
        <v>0</v>
      </c>
      <c r="U108" s="460">
        <v>236</v>
      </c>
      <c r="V108" s="465">
        <f t="shared" ref="V108:V120" si="70">U108/F108*100</f>
        <v>100</v>
      </c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</row>
    <row r="109" spans="1:38" s="53" customFormat="1" ht="21" customHeight="1" x14ac:dyDescent="0.35">
      <c r="A109" s="560"/>
      <c r="B109" s="34">
        <v>3</v>
      </c>
      <c r="C109" s="450"/>
      <c r="D109" s="656" t="s">
        <v>140</v>
      </c>
      <c r="E109" s="506">
        <v>4</v>
      </c>
      <c r="F109" s="460">
        <v>356</v>
      </c>
      <c r="G109" s="499">
        <v>4</v>
      </c>
      <c r="H109" s="505">
        <f t="shared" si="64"/>
        <v>100</v>
      </c>
      <c r="I109" s="498">
        <v>356</v>
      </c>
      <c r="J109" s="465">
        <f t="shared" si="65"/>
        <v>100</v>
      </c>
      <c r="K109" s="484">
        <v>142</v>
      </c>
      <c r="L109" s="465">
        <f t="shared" si="66"/>
        <v>39.887640449438202</v>
      </c>
      <c r="M109" s="498">
        <v>72</v>
      </c>
      <c r="N109" s="500">
        <f t="shared" si="67"/>
        <v>20.224719101123593</v>
      </c>
      <c r="O109" s="509">
        <v>89</v>
      </c>
      <c r="P109" s="465">
        <f t="shared" si="68"/>
        <v>25</v>
      </c>
      <c r="Q109" s="506">
        <v>4</v>
      </c>
      <c r="R109" s="469">
        <f t="shared" si="69"/>
        <v>100</v>
      </c>
      <c r="S109" s="465">
        <v>0</v>
      </c>
      <c r="T109" s="465">
        <v>0</v>
      </c>
      <c r="U109" s="460">
        <v>356</v>
      </c>
      <c r="V109" s="465">
        <f t="shared" si="70"/>
        <v>100</v>
      </c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</row>
    <row r="110" spans="1:38" s="53" customFormat="1" ht="21" customHeight="1" x14ac:dyDescent="0.35">
      <c r="A110" s="560"/>
      <c r="B110" s="34">
        <v>4</v>
      </c>
      <c r="C110" s="450"/>
      <c r="D110" s="656" t="s">
        <v>141</v>
      </c>
      <c r="E110" s="506">
        <v>4</v>
      </c>
      <c r="F110" s="460">
        <v>389</v>
      </c>
      <c r="G110" s="469">
        <v>3</v>
      </c>
      <c r="H110" s="505">
        <f t="shared" si="64"/>
        <v>75</v>
      </c>
      <c r="I110" s="479">
        <v>389</v>
      </c>
      <c r="J110" s="465">
        <f t="shared" si="65"/>
        <v>100</v>
      </c>
      <c r="K110" s="484">
        <v>153</v>
      </c>
      <c r="L110" s="465">
        <f t="shared" si="66"/>
        <v>39.331619537275067</v>
      </c>
      <c r="M110" s="657">
        <v>64</v>
      </c>
      <c r="N110" s="500">
        <f t="shared" si="67"/>
        <v>16.452442159383033</v>
      </c>
      <c r="O110" s="509">
        <v>33</v>
      </c>
      <c r="P110" s="465">
        <f t="shared" si="68"/>
        <v>8.4832904884318765</v>
      </c>
      <c r="Q110" s="506">
        <v>4</v>
      </c>
      <c r="R110" s="469">
        <f t="shared" si="69"/>
        <v>100</v>
      </c>
      <c r="S110" s="465">
        <v>0</v>
      </c>
      <c r="T110" s="465">
        <v>0</v>
      </c>
      <c r="U110" s="460">
        <v>389</v>
      </c>
      <c r="V110" s="465">
        <f t="shared" si="70"/>
        <v>100</v>
      </c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</row>
    <row r="111" spans="1:38" s="53" customFormat="1" ht="21" customHeight="1" x14ac:dyDescent="0.35">
      <c r="A111" s="560"/>
      <c r="B111" s="34">
        <v>5</v>
      </c>
      <c r="C111" s="450"/>
      <c r="D111" s="656" t="s">
        <v>142</v>
      </c>
      <c r="E111" s="506">
        <v>4</v>
      </c>
      <c r="F111" s="460">
        <v>204</v>
      </c>
      <c r="G111" s="469">
        <v>3</v>
      </c>
      <c r="H111" s="505">
        <f t="shared" si="64"/>
        <v>75</v>
      </c>
      <c r="I111" s="479">
        <v>204</v>
      </c>
      <c r="J111" s="465">
        <f t="shared" si="65"/>
        <v>100</v>
      </c>
      <c r="K111" s="484">
        <v>146</v>
      </c>
      <c r="L111" s="465">
        <f t="shared" si="66"/>
        <v>71.568627450980387</v>
      </c>
      <c r="M111" s="657">
        <v>93</v>
      </c>
      <c r="N111" s="500">
        <f t="shared" si="67"/>
        <v>45.588235294117645</v>
      </c>
      <c r="O111" s="509">
        <v>58</v>
      </c>
      <c r="P111" s="465">
        <f t="shared" si="68"/>
        <v>28.431372549019606</v>
      </c>
      <c r="Q111" s="506">
        <v>4</v>
      </c>
      <c r="R111" s="469">
        <f t="shared" si="69"/>
        <v>100</v>
      </c>
      <c r="S111" s="465">
        <v>0</v>
      </c>
      <c r="T111" s="465">
        <v>0</v>
      </c>
      <c r="U111" s="460">
        <v>204</v>
      </c>
      <c r="V111" s="465">
        <f t="shared" si="70"/>
        <v>100</v>
      </c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</row>
    <row r="112" spans="1:38" s="53" customFormat="1" ht="21" customHeight="1" x14ac:dyDescent="0.35">
      <c r="A112" s="560"/>
      <c r="B112" s="34">
        <v>6</v>
      </c>
      <c r="C112" s="450"/>
      <c r="D112" s="656" t="s">
        <v>143</v>
      </c>
      <c r="E112" s="506">
        <v>4</v>
      </c>
      <c r="F112" s="460">
        <v>270</v>
      </c>
      <c r="G112" s="469">
        <v>3</v>
      </c>
      <c r="H112" s="505">
        <f t="shared" si="64"/>
        <v>75</v>
      </c>
      <c r="I112" s="479">
        <v>270</v>
      </c>
      <c r="J112" s="465">
        <f t="shared" si="65"/>
        <v>100</v>
      </c>
      <c r="K112" s="484">
        <v>137</v>
      </c>
      <c r="L112" s="465">
        <f t="shared" si="66"/>
        <v>50.74074074074074</v>
      </c>
      <c r="M112" s="479">
        <v>133</v>
      </c>
      <c r="N112" s="500">
        <f t="shared" si="67"/>
        <v>49.25925925925926</v>
      </c>
      <c r="O112" s="509">
        <v>48</v>
      </c>
      <c r="P112" s="465">
        <f t="shared" si="68"/>
        <v>17.777777777777779</v>
      </c>
      <c r="Q112" s="506">
        <v>4</v>
      </c>
      <c r="R112" s="469">
        <f t="shared" si="69"/>
        <v>100</v>
      </c>
      <c r="S112" s="465">
        <v>0</v>
      </c>
      <c r="T112" s="465">
        <v>0</v>
      </c>
      <c r="U112" s="460">
        <v>270</v>
      </c>
      <c r="V112" s="465">
        <f t="shared" si="70"/>
        <v>100</v>
      </c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</row>
    <row r="113" spans="1:38" s="53" customFormat="1" ht="21" customHeight="1" x14ac:dyDescent="0.35">
      <c r="A113" s="560"/>
      <c r="B113" s="34">
        <v>7</v>
      </c>
      <c r="C113" s="450"/>
      <c r="D113" s="656" t="s">
        <v>144</v>
      </c>
      <c r="E113" s="506">
        <v>15</v>
      </c>
      <c r="F113" s="460">
        <v>453</v>
      </c>
      <c r="G113" s="469">
        <v>7</v>
      </c>
      <c r="H113" s="505">
        <f t="shared" si="64"/>
        <v>46.666666666666664</v>
      </c>
      <c r="I113" s="479">
        <v>453</v>
      </c>
      <c r="J113" s="465">
        <f t="shared" si="65"/>
        <v>100</v>
      </c>
      <c r="K113" s="484">
        <v>82</v>
      </c>
      <c r="L113" s="465">
        <f t="shared" si="66"/>
        <v>18.101545253863137</v>
      </c>
      <c r="M113" s="659">
        <v>21</v>
      </c>
      <c r="N113" s="500">
        <f t="shared" si="67"/>
        <v>4.6357615894039732</v>
      </c>
      <c r="O113" s="509">
        <v>50</v>
      </c>
      <c r="P113" s="465">
        <f t="shared" si="68"/>
        <v>11.037527593818984</v>
      </c>
      <c r="Q113" s="506">
        <v>15</v>
      </c>
      <c r="R113" s="469">
        <f t="shared" si="69"/>
        <v>100</v>
      </c>
      <c r="S113" s="465">
        <v>0</v>
      </c>
      <c r="T113" s="465">
        <v>0</v>
      </c>
      <c r="U113" s="460">
        <v>453</v>
      </c>
      <c r="V113" s="465">
        <f t="shared" si="70"/>
        <v>100</v>
      </c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</row>
    <row r="114" spans="1:38" s="53" customFormat="1" ht="21" customHeight="1" x14ac:dyDescent="0.35">
      <c r="A114" s="560"/>
      <c r="B114" s="34">
        <v>8</v>
      </c>
      <c r="C114" s="450"/>
      <c r="D114" s="656" t="s">
        <v>145</v>
      </c>
      <c r="E114" s="506">
        <v>2</v>
      </c>
      <c r="F114" s="460">
        <v>89</v>
      </c>
      <c r="G114" s="469">
        <v>2</v>
      </c>
      <c r="H114" s="505">
        <f>G114/E114*100</f>
        <v>100</v>
      </c>
      <c r="I114" s="479">
        <v>89</v>
      </c>
      <c r="J114" s="465">
        <f t="shared" si="65"/>
        <v>100</v>
      </c>
      <c r="K114" s="484">
        <v>54</v>
      </c>
      <c r="L114" s="465">
        <f t="shared" si="66"/>
        <v>60.674157303370791</v>
      </c>
      <c r="M114" s="480">
        <v>67</v>
      </c>
      <c r="N114" s="500">
        <f>M114/F114*100</f>
        <v>75.280898876404493</v>
      </c>
      <c r="O114" s="509">
        <v>35</v>
      </c>
      <c r="P114" s="465">
        <f t="shared" si="68"/>
        <v>39.325842696629216</v>
      </c>
      <c r="Q114" s="506">
        <v>2</v>
      </c>
      <c r="R114" s="469">
        <f t="shared" si="69"/>
        <v>100</v>
      </c>
      <c r="S114" s="465">
        <v>0</v>
      </c>
      <c r="T114" s="465">
        <v>0</v>
      </c>
      <c r="U114" s="460">
        <v>89</v>
      </c>
      <c r="V114" s="465">
        <f t="shared" si="70"/>
        <v>100</v>
      </c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</row>
    <row r="115" spans="1:38" s="53" customFormat="1" ht="21" customHeight="1" x14ac:dyDescent="0.35">
      <c r="A115" s="560"/>
      <c r="B115" s="34">
        <v>9</v>
      </c>
      <c r="C115" s="450"/>
      <c r="D115" s="656" t="s">
        <v>146</v>
      </c>
      <c r="E115" s="506">
        <v>3</v>
      </c>
      <c r="F115" s="460">
        <v>200</v>
      </c>
      <c r="G115" s="469">
        <v>3</v>
      </c>
      <c r="H115" s="505">
        <f t="shared" si="64"/>
        <v>100</v>
      </c>
      <c r="I115" s="479">
        <v>200</v>
      </c>
      <c r="J115" s="465">
        <f t="shared" si="65"/>
        <v>100</v>
      </c>
      <c r="K115" s="484">
        <v>146</v>
      </c>
      <c r="L115" s="465">
        <f t="shared" si="66"/>
        <v>73</v>
      </c>
      <c r="M115" s="480">
        <v>82</v>
      </c>
      <c r="N115" s="500">
        <f t="shared" si="67"/>
        <v>41</v>
      </c>
      <c r="O115" s="509">
        <v>63</v>
      </c>
      <c r="P115" s="465">
        <f t="shared" si="68"/>
        <v>31.5</v>
      </c>
      <c r="Q115" s="506">
        <v>3</v>
      </c>
      <c r="R115" s="469">
        <f t="shared" si="69"/>
        <v>100</v>
      </c>
      <c r="S115" s="465">
        <v>0</v>
      </c>
      <c r="T115" s="465">
        <v>0</v>
      </c>
      <c r="U115" s="460">
        <v>200</v>
      </c>
      <c r="V115" s="465">
        <f t="shared" si="70"/>
        <v>100</v>
      </c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</row>
    <row r="116" spans="1:38" s="53" customFormat="1" ht="21" customHeight="1" x14ac:dyDescent="0.35">
      <c r="A116" s="560"/>
      <c r="B116" s="34">
        <v>10</v>
      </c>
      <c r="C116" s="450"/>
      <c r="D116" s="656" t="s">
        <v>147</v>
      </c>
      <c r="E116" s="611">
        <v>2</v>
      </c>
      <c r="F116" s="460">
        <v>142</v>
      </c>
      <c r="G116" s="469">
        <v>2</v>
      </c>
      <c r="H116" s="505">
        <f>G116/E116*100</f>
        <v>100</v>
      </c>
      <c r="I116" s="479">
        <v>142</v>
      </c>
      <c r="J116" s="465">
        <f t="shared" si="65"/>
        <v>100</v>
      </c>
      <c r="K116" s="484">
        <v>104</v>
      </c>
      <c r="L116" s="465">
        <f t="shared" si="66"/>
        <v>73.239436619718319</v>
      </c>
      <c r="M116" s="480">
        <v>29</v>
      </c>
      <c r="N116" s="500">
        <f t="shared" si="67"/>
        <v>20.422535211267608</v>
      </c>
      <c r="O116" s="509">
        <v>52</v>
      </c>
      <c r="P116" s="465">
        <f t="shared" si="68"/>
        <v>36.619718309859159</v>
      </c>
      <c r="Q116" s="611">
        <v>2</v>
      </c>
      <c r="R116" s="469">
        <f t="shared" si="69"/>
        <v>100</v>
      </c>
      <c r="S116" s="465">
        <v>0</v>
      </c>
      <c r="T116" s="465">
        <v>0</v>
      </c>
      <c r="U116" s="460">
        <v>142</v>
      </c>
      <c r="V116" s="465">
        <f t="shared" si="70"/>
        <v>100</v>
      </c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</row>
    <row r="117" spans="1:38" s="53" customFormat="1" ht="21" customHeight="1" x14ac:dyDescent="0.35">
      <c r="A117" s="560"/>
      <c r="B117" s="34">
        <v>11</v>
      </c>
      <c r="C117" s="450"/>
      <c r="D117" s="656" t="s">
        <v>148</v>
      </c>
      <c r="E117" s="611">
        <v>9</v>
      </c>
      <c r="F117" s="460">
        <v>264</v>
      </c>
      <c r="G117" s="469">
        <v>9</v>
      </c>
      <c r="H117" s="505">
        <f t="shared" si="64"/>
        <v>100</v>
      </c>
      <c r="I117" s="479">
        <v>264</v>
      </c>
      <c r="J117" s="465">
        <f t="shared" si="65"/>
        <v>100</v>
      </c>
      <c r="K117" s="484">
        <v>189</v>
      </c>
      <c r="L117" s="465">
        <f t="shared" si="66"/>
        <v>71.590909090909093</v>
      </c>
      <c r="M117" s="480">
        <v>185</v>
      </c>
      <c r="N117" s="500">
        <f t="shared" si="67"/>
        <v>70.075757575757578</v>
      </c>
      <c r="O117" s="509">
        <v>18</v>
      </c>
      <c r="P117" s="465">
        <f t="shared" si="68"/>
        <v>6.8181818181818175</v>
      </c>
      <c r="Q117" s="611">
        <v>9</v>
      </c>
      <c r="R117" s="469">
        <f t="shared" si="69"/>
        <v>100</v>
      </c>
      <c r="S117" s="465">
        <v>0</v>
      </c>
      <c r="T117" s="465">
        <v>0</v>
      </c>
      <c r="U117" s="460">
        <v>264</v>
      </c>
      <c r="V117" s="465">
        <f t="shared" si="70"/>
        <v>100</v>
      </c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</row>
    <row r="118" spans="1:38" s="53" customFormat="1" ht="21" customHeight="1" x14ac:dyDescent="0.35">
      <c r="A118" s="560"/>
      <c r="B118" s="34">
        <v>12</v>
      </c>
      <c r="C118" s="450"/>
      <c r="D118" s="656" t="s">
        <v>149</v>
      </c>
      <c r="E118" s="611">
        <v>8</v>
      </c>
      <c r="F118" s="460">
        <v>501</v>
      </c>
      <c r="G118" s="469">
        <v>5</v>
      </c>
      <c r="H118" s="505">
        <f t="shared" si="64"/>
        <v>62.5</v>
      </c>
      <c r="I118" s="479">
        <v>501</v>
      </c>
      <c r="J118" s="465">
        <f t="shared" si="65"/>
        <v>100</v>
      </c>
      <c r="K118" s="484">
        <v>126</v>
      </c>
      <c r="L118" s="465">
        <f t="shared" si="66"/>
        <v>25.149700598802394</v>
      </c>
      <c r="M118" s="480">
        <v>84</v>
      </c>
      <c r="N118" s="500">
        <f t="shared" si="67"/>
        <v>16.766467065868262</v>
      </c>
      <c r="O118" s="469">
        <v>70</v>
      </c>
      <c r="P118" s="465">
        <f t="shared" si="68"/>
        <v>13.972055888223553</v>
      </c>
      <c r="Q118" s="611">
        <v>8</v>
      </c>
      <c r="R118" s="469">
        <f t="shared" si="69"/>
        <v>100</v>
      </c>
      <c r="S118" s="465">
        <v>0</v>
      </c>
      <c r="T118" s="465">
        <v>0</v>
      </c>
      <c r="U118" s="460">
        <v>501</v>
      </c>
      <c r="V118" s="465">
        <f t="shared" si="70"/>
        <v>100</v>
      </c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</row>
    <row r="119" spans="1:38" s="53" customFormat="1" ht="21" customHeight="1" x14ac:dyDescent="0.35">
      <c r="A119" s="560"/>
      <c r="B119" s="34">
        <v>13</v>
      </c>
      <c r="C119" s="450"/>
      <c r="D119" s="656" t="s">
        <v>150</v>
      </c>
      <c r="E119" s="469">
        <v>4</v>
      </c>
      <c r="F119" s="460">
        <v>280</v>
      </c>
      <c r="G119" s="469">
        <v>4</v>
      </c>
      <c r="H119" s="505">
        <f t="shared" si="64"/>
        <v>100</v>
      </c>
      <c r="I119" s="552">
        <v>280</v>
      </c>
      <c r="J119" s="465">
        <f t="shared" si="65"/>
        <v>100</v>
      </c>
      <c r="K119" s="484">
        <v>93</v>
      </c>
      <c r="L119" s="465">
        <f t="shared" si="66"/>
        <v>33.214285714285715</v>
      </c>
      <c r="M119" s="480">
        <v>52</v>
      </c>
      <c r="N119" s="500">
        <f t="shared" si="67"/>
        <v>18.571428571428573</v>
      </c>
      <c r="O119" s="469">
        <v>75</v>
      </c>
      <c r="P119" s="465">
        <f t="shared" si="68"/>
        <v>26.785714285714285</v>
      </c>
      <c r="Q119" s="469">
        <v>4</v>
      </c>
      <c r="R119" s="469">
        <f t="shared" si="69"/>
        <v>100</v>
      </c>
      <c r="S119" s="465">
        <v>0</v>
      </c>
      <c r="T119" s="465">
        <v>0</v>
      </c>
      <c r="U119" s="460">
        <v>280</v>
      </c>
      <c r="V119" s="465">
        <f t="shared" si="70"/>
        <v>100</v>
      </c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</row>
    <row r="120" spans="1:38" s="53" customFormat="1" ht="21" customHeight="1" x14ac:dyDescent="0.35">
      <c r="A120" s="561"/>
      <c r="B120" s="541"/>
      <c r="C120" s="510" t="s">
        <v>2</v>
      </c>
      <c r="D120" s="124">
        <v>13</v>
      </c>
      <c r="E120" s="542">
        <f>SUM(E107:E119)</f>
        <v>75</v>
      </c>
      <c r="F120" s="542">
        <f>SUM(F107:F119)</f>
        <v>4019</v>
      </c>
      <c r="G120" s="542">
        <f t="shared" ref="G120" si="71">SUM(G107:G119)</f>
        <v>54</v>
      </c>
      <c r="H120" s="483">
        <f>G120/E120*100</f>
        <v>72</v>
      </c>
      <c r="I120" s="514">
        <f>SUM(I107:I119)</f>
        <v>4019</v>
      </c>
      <c r="J120" s="483">
        <f>I120/F120*100</f>
        <v>100</v>
      </c>
      <c r="K120" s="514">
        <f>SUM(K107:K119)</f>
        <v>1707</v>
      </c>
      <c r="L120" s="483">
        <f>K120/F120*100</f>
        <v>42.473252052749437</v>
      </c>
      <c r="M120" s="483">
        <f>SUM(M107:M119)</f>
        <v>1421</v>
      </c>
      <c r="N120" s="513">
        <f>M120/F120*100</f>
        <v>35.357053993530727</v>
      </c>
      <c r="O120" s="514">
        <f>SUM(O107:O119)</f>
        <v>716</v>
      </c>
      <c r="P120" s="483">
        <f>O120/F120*100</f>
        <v>17.815376959442649</v>
      </c>
      <c r="Q120" s="514">
        <f>SUM(Q107:Q119)</f>
        <v>75</v>
      </c>
      <c r="R120" s="124">
        <f t="shared" si="69"/>
        <v>100</v>
      </c>
      <c r="S120" s="514"/>
      <c r="T120" s="516"/>
      <c r="U120" s="483">
        <f>SUM(U107:U119)</f>
        <v>4019</v>
      </c>
      <c r="V120" s="493">
        <f t="shared" si="70"/>
        <v>100</v>
      </c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</row>
    <row r="121" spans="1:38" s="53" customFormat="1" ht="21" customHeight="1" x14ac:dyDescent="0.35">
      <c r="A121" s="562"/>
      <c r="B121" s="50">
        <v>1</v>
      </c>
      <c r="C121" s="576" t="s">
        <v>190</v>
      </c>
      <c r="D121" s="110" t="s">
        <v>180</v>
      </c>
      <c r="E121" s="507">
        <v>3</v>
      </c>
      <c r="F121" s="507">
        <v>143</v>
      </c>
      <c r="G121" s="507">
        <v>3</v>
      </c>
      <c r="H121" s="465">
        <f>G121/E121*100</f>
        <v>100</v>
      </c>
      <c r="I121" s="670">
        <v>23</v>
      </c>
      <c r="J121" s="100">
        <f>I121/F121*100</f>
        <v>16.083916083916083</v>
      </c>
      <c r="K121" s="507">
        <v>143</v>
      </c>
      <c r="L121" s="465">
        <f>K121/F121*100</f>
        <v>100</v>
      </c>
      <c r="M121" s="507">
        <v>96</v>
      </c>
      <c r="N121" s="500">
        <f>M121/F121*100</f>
        <v>67.132867132867133</v>
      </c>
      <c r="O121" s="469">
        <v>0</v>
      </c>
      <c r="P121" s="465">
        <v>0</v>
      </c>
      <c r="Q121" s="469">
        <v>0</v>
      </c>
      <c r="R121" s="469">
        <v>0</v>
      </c>
      <c r="S121" s="507">
        <v>28</v>
      </c>
      <c r="T121" s="501">
        <f>S121/F121*100</f>
        <v>19.58041958041958</v>
      </c>
      <c r="U121" s="507">
        <v>101</v>
      </c>
      <c r="V121" s="535">
        <f>U121/F121*100</f>
        <v>70.629370629370626</v>
      </c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</row>
    <row r="122" spans="1:38" s="53" customFormat="1" ht="21" customHeight="1" x14ac:dyDescent="0.35">
      <c r="A122" s="560"/>
      <c r="B122" s="36">
        <v>2</v>
      </c>
      <c r="C122" s="577"/>
      <c r="D122" s="110" t="s">
        <v>181</v>
      </c>
      <c r="E122" s="507">
        <v>3</v>
      </c>
      <c r="F122" s="507">
        <v>180</v>
      </c>
      <c r="G122" s="507">
        <v>3</v>
      </c>
      <c r="H122" s="465">
        <f t="shared" ref="H122:H132" si="72">G122/E122*100</f>
        <v>100</v>
      </c>
      <c r="I122" s="670">
        <v>17</v>
      </c>
      <c r="J122" s="100">
        <f t="shared" ref="J122:J132" si="73">I122/F122*100</f>
        <v>9.4444444444444446</v>
      </c>
      <c r="K122" s="507">
        <v>180</v>
      </c>
      <c r="L122" s="465">
        <f t="shared" ref="L122:L132" si="74">K122/F122*100</f>
        <v>100</v>
      </c>
      <c r="M122" s="507">
        <v>119</v>
      </c>
      <c r="N122" s="500">
        <f t="shared" ref="N122:N132" si="75">M122/F122*100</f>
        <v>66.111111111111114</v>
      </c>
      <c r="O122" s="469">
        <v>0</v>
      </c>
      <c r="P122" s="465">
        <v>0</v>
      </c>
      <c r="Q122" s="469">
        <v>0</v>
      </c>
      <c r="R122" s="469">
        <v>0</v>
      </c>
      <c r="S122" s="507">
        <v>22</v>
      </c>
      <c r="T122" s="501">
        <f t="shared" ref="T122:T132" si="76">S122/F122*100</f>
        <v>12.222222222222221</v>
      </c>
      <c r="U122" s="507">
        <v>124</v>
      </c>
      <c r="V122" s="535">
        <f t="shared" ref="V122:V132" si="77">U122/F122*100</f>
        <v>68.888888888888886</v>
      </c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</row>
    <row r="123" spans="1:38" s="53" customFormat="1" ht="21" customHeight="1" x14ac:dyDescent="0.35">
      <c r="A123" s="560"/>
      <c r="B123" s="36">
        <v>3</v>
      </c>
      <c r="C123" s="577"/>
      <c r="D123" s="110" t="s">
        <v>182</v>
      </c>
      <c r="E123" s="507">
        <v>3</v>
      </c>
      <c r="F123" s="507">
        <v>222</v>
      </c>
      <c r="G123" s="469">
        <v>3</v>
      </c>
      <c r="H123" s="465">
        <f t="shared" si="72"/>
        <v>100</v>
      </c>
      <c r="I123" s="670">
        <v>39</v>
      </c>
      <c r="J123" s="100">
        <f t="shared" si="73"/>
        <v>17.567567567567568</v>
      </c>
      <c r="K123" s="507">
        <v>222</v>
      </c>
      <c r="L123" s="465">
        <f t="shared" si="74"/>
        <v>100</v>
      </c>
      <c r="M123" s="507">
        <v>157</v>
      </c>
      <c r="N123" s="500">
        <f t="shared" si="75"/>
        <v>70.72072072072072</v>
      </c>
      <c r="O123" s="469">
        <v>0</v>
      </c>
      <c r="P123" s="465">
        <v>0</v>
      </c>
      <c r="Q123" s="469">
        <v>0</v>
      </c>
      <c r="R123" s="469">
        <v>0</v>
      </c>
      <c r="S123" s="507">
        <v>44</v>
      </c>
      <c r="T123" s="501">
        <f t="shared" si="76"/>
        <v>19.81981981981982</v>
      </c>
      <c r="U123" s="507">
        <v>162</v>
      </c>
      <c r="V123" s="535">
        <f t="shared" si="77"/>
        <v>72.972972972972968</v>
      </c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</row>
    <row r="124" spans="1:38" s="53" customFormat="1" ht="21" customHeight="1" x14ac:dyDescent="0.35">
      <c r="A124" s="560"/>
      <c r="B124" s="36">
        <v>4</v>
      </c>
      <c r="C124" s="577"/>
      <c r="D124" s="110" t="s">
        <v>183</v>
      </c>
      <c r="E124" s="507">
        <v>2</v>
      </c>
      <c r="F124" s="507">
        <v>99</v>
      </c>
      <c r="G124" s="469">
        <v>2</v>
      </c>
      <c r="H124" s="465">
        <f t="shared" si="72"/>
        <v>100</v>
      </c>
      <c r="I124" s="670">
        <v>9</v>
      </c>
      <c r="J124" s="100">
        <f t="shared" si="73"/>
        <v>9.0909090909090917</v>
      </c>
      <c r="K124" s="507">
        <v>99</v>
      </c>
      <c r="L124" s="465">
        <f t="shared" si="74"/>
        <v>100</v>
      </c>
      <c r="M124" s="507">
        <v>62</v>
      </c>
      <c r="N124" s="500">
        <f t="shared" si="75"/>
        <v>62.62626262626263</v>
      </c>
      <c r="O124" s="469">
        <v>0</v>
      </c>
      <c r="P124" s="465">
        <v>0</v>
      </c>
      <c r="Q124" s="469">
        <v>0</v>
      </c>
      <c r="R124" s="469">
        <v>0</v>
      </c>
      <c r="S124" s="507">
        <v>14</v>
      </c>
      <c r="T124" s="501">
        <f t="shared" si="76"/>
        <v>14.14141414141414</v>
      </c>
      <c r="U124" s="507">
        <v>67</v>
      </c>
      <c r="V124" s="535">
        <f t="shared" si="77"/>
        <v>67.676767676767682</v>
      </c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</row>
    <row r="125" spans="1:38" s="53" customFormat="1" ht="21" customHeight="1" x14ac:dyDescent="0.35">
      <c r="A125" s="560"/>
      <c r="B125" s="36">
        <v>5</v>
      </c>
      <c r="C125" s="577"/>
      <c r="D125" s="110" t="s">
        <v>184</v>
      </c>
      <c r="E125" s="507">
        <v>3</v>
      </c>
      <c r="F125" s="507">
        <v>141</v>
      </c>
      <c r="G125" s="469">
        <v>3</v>
      </c>
      <c r="H125" s="465">
        <f t="shared" si="72"/>
        <v>100</v>
      </c>
      <c r="I125" s="670">
        <v>21</v>
      </c>
      <c r="J125" s="100">
        <f t="shared" si="73"/>
        <v>14.893617021276595</v>
      </c>
      <c r="K125" s="507">
        <v>141</v>
      </c>
      <c r="L125" s="465">
        <f t="shared" si="74"/>
        <v>100</v>
      </c>
      <c r="M125" s="507">
        <v>87</v>
      </c>
      <c r="N125" s="500">
        <f t="shared" si="75"/>
        <v>61.702127659574465</v>
      </c>
      <c r="O125" s="469">
        <v>0</v>
      </c>
      <c r="P125" s="465">
        <v>0</v>
      </c>
      <c r="Q125" s="469">
        <v>0</v>
      </c>
      <c r="R125" s="469">
        <v>0</v>
      </c>
      <c r="S125" s="507">
        <v>26</v>
      </c>
      <c r="T125" s="501">
        <f t="shared" si="76"/>
        <v>18.439716312056735</v>
      </c>
      <c r="U125" s="507">
        <v>92</v>
      </c>
      <c r="V125" s="535">
        <f t="shared" si="77"/>
        <v>65.248226950354621</v>
      </c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</row>
    <row r="126" spans="1:38" s="53" customFormat="1" ht="21" customHeight="1" x14ac:dyDescent="0.35">
      <c r="A126" s="560"/>
      <c r="B126" s="36">
        <v>6</v>
      </c>
      <c r="C126" s="577"/>
      <c r="D126" s="110" t="s">
        <v>152</v>
      </c>
      <c r="E126" s="507">
        <v>7</v>
      </c>
      <c r="F126" s="507">
        <v>412</v>
      </c>
      <c r="G126" s="469">
        <v>4</v>
      </c>
      <c r="H126" s="465">
        <f t="shared" si="72"/>
        <v>57.142857142857139</v>
      </c>
      <c r="I126" s="670">
        <v>88</v>
      </c>
      <c r="J126" s="100">
        <f t="shared" si="73"/>
        <v>21.359223300970871</v>
      </c>
      <c r="K126" s="507">
        <v>412</v>
      </c>
      <c r="L126" s="465">
        <f t="shared" si="74"/>
        <v>100</v>
      </c>
      <c r="M126" s="507">
        <v>336</v>
      </c>
      <c r="N126" s="500">
        <f t="shared" si="75"/>
        <v>81.553398058252426</v>
      </c>
      <c r="O126" s="469">
        <v>0</v>
      </c>
      <c r="P126" s="465">
        <v>0</v>
      </c>
      <c r="Q126" s="469">
        <v>0</v>
      </c>
      <c r="R126" s="469">
        <v>0</v>
      </c>
      <c r="S126" s="507">
        <v>93</v>
      </c>
      <c r="T126" s="501">
        <f t="shared" si="76"/>
        <v>22.572815533980584</v>
      </c>
      <c r="U126" s="507">
        <v>341</v>
      </c>
      <c r="V126" s="535">
        <f t="shared" si="77"/>
        <v>82.766990291262132</v>
      </c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</row>
    <row r="127" spans="1:38" s="53" customFormat="1" ht="21" customHeight="1" x14ac:dyDescent="0.35">
      <c r="A127" s="560">
        <v>10</v>
      </c>
      <c r="B127" s="36">
        <v>7</v>
      </c>
      <c r="C127" s="577"/>
      <c r="D127" s="110" t="s">
        <v>185</v>
      </c>
      <c r="E127" s="507">
        <v>3</v>
      </c>
      <c r="F127" s="507">
        <v>135</v>
      </c>
      <c r="G127" s="469">
        <v>3</v>
      </c>
      <c r="H127" s="465">
        <f t="shared" si="72"/>
        <v>100</v>
      </c>
      <c r="I127" s="670">
        <v>12</v>
      </c>
      <c r="J127" s="100">
        <f t="shared" si="73"/>
        <v>8.8888888888888893</v>
      </c>
      <c r="K127" s="507">
        <v>135</v>
      </c>
      <c r="L127" s="465">
        <f t="shared" si="74"/>
        <v>100</v>
      </c>
      <c r="M127" s="507">
        <v>74</v>
      </c>
      <c r="N127" s="500">
        <f t="shared" si="75"/>
        <v>54.814814814814817</v>
      </c>
      <c r="O127" s="469">
        <v>0</v>
      </c>
      <c r="P127" s="465">
        <v>0</v>
      </c>
      <c r="Q127" s="469">
        <v>0</v>
      </c>
      <c r="R127" s="469">
        <v>0</v>
      </c>
      <c r="S127" s="507">
        <v>17</v>
      </c>
      <c r="T127" s="501">
        <f t="shared" si="76"/>
        <v>12.592592592592592</v>
      </c>
      <c r="U127" s="507">
        <v>79</v>
      </c>
      <c r="V127" s="535">
        <f t="shared" si="77"/>
        <v>58.518518518518512</v>
      </c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</row>
    <row r="128" spans="1:38" s="53" customFormat="1" ht="21" customHeight="1" x14ac:dyDescent="0.35">
      <c r="A128" s="560"/>
      <c r="B128" s="36">
        <v>8</v>
      </c>
      <c r="C128" s="577"/>
      <c r="D128" s="110" t="s">
        <v>186</v>
      </c>
      <c r="E128" s="507">
        <v>3</v>
      </c>
      <c r="F128" s="507">
        <v>228</v>
      </c>
      <c r="G128" s="469">
        <v>3</v>
      </c>
      <c r="H128" s="465">
        <f t="shared" si="72"/>
        <v>100</v>
      </c>
      <c r="I128" s="670">
        <v>31</v>
      </c>
      <c r="J128" s="100">
        <f t="shared" si="73"/>
        <v>13.596491228070176</v>
      </c>
      <c r="K128" s="507">
        <v>228</v>
      </c>
      <c r="L128" s="465">
        <f t="shared" si="74"/>
        <v>100</v>
      </c>
      <c r="M128" s="507">
        <v>191</v>
      </c>
      <c r="N128" s="500">
        <f t="shared" si="75"/>
        <v>83.771929824561411</v>
      </c>
      <c r="O128" s="469">
        <v>0</v>
      </c>
      <c r="P128" s="465">
        <v>0</v>
      </c>
      <c r="Q128" s="469">
        <v>0</v>
      </c>
      <c r="R128" s="469">
        <v>0</v>
      </c>
      <c r="S128" s="507">
        <v>36</v>
      </c>
      <c r="T128" s="501">
        <f t="shared" si="76"/>
        <v>15.789473684210526</v>
      </c>
      <c r="U128" s="507">
        <v>196</v>
      </c>
      <c r="V128" s="535">
        <f t="shared" si="77"/>
        <v>85.964912280701753</v>
      </c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</row>
    <row r="129" spans="1:38" s="53" customFormat="1" ht="21" customHeight="1" x14ac:dyDescent="0.35">
      <c r="A129" s="560"/>
      <c r="B129" s="36">
        <v>9</v>
      </c>
      <c r="C129" s="577"/>
      <c r="D129" s="110" t="s">
        <v>187</v>
      </c>
      <c r="E129" s="507">
        <v>2</v>
      </c>
      <c r="F129" s="507">
        <v>93</v>
      </c>
      <c r="G129" s="469">
        <v>2</v>
      </c>
      <c r="H129" s="465">
        <f t="shared" si="72"/>
        <v>100</v>
      </c>
      <c r="I129" s="670">
        <v>6</v>
      </c>
      <c r="J129" s="100">
        <f t="shared" si="73"/>
        <v>6.4516129032258061</v>
      </c>
      <c r="K129" s="507">
        <v>93</v>
      </c>
      <c r="L129" s="465">
        <f t="shared" si="74"/>
        <v>100</v>
      </c>
      <c r="M129" s="507">
        <v>48</v>
      </c>
      <c r="N129" s="500">
        <f t="shared" si="75"/>
        <v>51.612903225806448</v>
      </c>
      <c r="O129" s="469">
        <v>0</v>
      </c>
      <c r="P129" s="465">
        <v>0</v>
      </c>
      <c r="Q129" s="469">
        <v>0</v>
      </c>
      <c r="R129" s="469">
        <v>0</v>
      </c>
      <c r="S129" s="507">
        <v>11</v>
      </c>
      <c r="T129" s="501">
        <f t="shared" si="76"/>
        <v>11.827956989247312</v>
      </c>
      <c r="U129" s="507">
        <v>53</v>
      </c>
      <c r="V129" s="535">
        <f t="shared" si="77"/>
        <v>56.98924731182796</v>
      </c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</row>
    <row r="130" spans="1:38" s="53" customFormat="1" ht="21" customHeight="1" x14ac:dyDescent="0.35">
      <c r="A130" s="560"/>
      <c r="B130" s="36">
        <v>10</v>
      </c>
      <c r="C130" s="577"/>
      <c r="D130" s="110" t="s">
        <v>188</v>
      </c>
      <c r="E130" s="507">
        <v>3</v>
      </c>
      <c r="F130" s="507">
        <v>196</v>
      </c>
      <c r="G130" s="469">
        <v>3</v>
      </c>
      <c r="H130" s="465">
        <f t="shared" si="72"/>
        <v>100</v>
      </c>
      <c r="I130" s="670">
        <v>26</v>
      </c>
      <c r="J130" s="100">
        <f t="shared" si="73"/>
        <v>13.26530612244898</v>
      </c>
      <c r="K130" s="507">
        <v>196</v>
      </c>
      <c r="L130" s="465">
        <f t="shared" si="74"/>
        <v>100</v>
      </c>
      <c r="M130" s="507">
        <v>156</v>
      </c>
      <c r="N130" s="500">
        <f t="shared" si="75"/>
        <v>79.591836734693871</v>
      </c>
      <c r="O130" s="469">
        <v>0</v>
      </c>
      <c r="P130" s="465">
        <v>0</v>
      </c>
      <c r="Q130" s="469">
        <v>0</v>
      </c>
      <c r="R130" s="469">
        <v>0</v>
      </c>
      <c r="S130" s="507">
        <v>31</v>
      </c>
      <c r="T130" s="501">
        <f t="shared" si="76"/>
        <v>15.816326530612246</v>
      </c>
      <c r="U130" s="507">
        <v>161</v>
      </c>
      <c r="V130" s="535">
        <f t="shared" si="77"/>
        <v>82.142857142857139</v>
      </c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</row>
    <row r="131" spans="1:38" s="53" customFormat="1" ht="21" customHeight="1" x14ac:dyDescent="0.35">
      <c r="A131" s="560"/>
      <c r="B131" s="36">
        <v>11</v>
      </c>
      <c r="C131" s="577"/>
      <c r="D131" s="110" t="s">
        <v>189</v>
      </c>
      <c r="E131" s="507">
        <v>3</v>
      </c>
      <c r="F131" s="507">
        <v>138</v>
      </c>
      <c r="G131" s="469">
        <v>3</v>
      </c>
      <c r="H131" s="465">
        <f t="shared" si="72"/>
        <v>100</v>
      </c>
      <c r="I131" s="670">
        <v>15</v>
      </c>
      <c r="J131" s="100">
        <f t="shared" si="73"/>
        <v>10.869565217391305</v>
      </c>
      <c r="K131" s="507">
        <v>138</v>
      </c>
      <c r="L131" s="465">
        <f t="shared" si="74"/>
        <v>100</v>
      </c>
      <c r="M131" s="507">
        <v>92</v>
      </c>
      <c r="N131" s="500">
        <f t="shared" si="75"/>
        <v>66.666666666666657</v>
      </c>
      <c r="O131" s="469">
        <v>0</v>
      </c>
      <c r="P131" s="465">
        <v>0</v>
      </c>
      <c r="Q131" s="469">
        <v>0</v>
      </c>
      <c r="R131" s="469">
        <v>0</v>
      </c>
      <c r="S131" s="507">
        <v>20</v>
      </c>
      <c r="T131" s="501">
        <f t="shared" si="76"/>
        <v>14.492753623188406</v>
      </c>
      <c r="U131" s="507">
        <v>97</v>
      </c>
      <c r="V131" s="535">
        <f t="shared" si="77"/>
        <v>70.289855072463766</v>
      </c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</row>
    <row r="132" spans="1:38" s="53" customFormat="1" ht="21" customHeight="1" x14ac:dyDescent="0.35">
      <c r="A132" s="561"/>
      <c r="B132" s="564"/>
      <c r="C132" s="153" t="s">
        <v>2</v>
      </c>
      <c r="D132" s="95">
        <v>11</v>
      </c>
      <c r="E132" s="583">
        <f>SUM(E121:E131)</f>
        <v>35</v>
      </c>
      <c r="F132" s="148">
        <f>SUM(F121:F131)</f>
        <v>1987</v>
      </c>
      <c r="G132" s="514">
        <f>SUM(G121:G131)</f>
        <v>32</v>
      </c>
      <c r="H132" s="493">
        <f t="shared" si="72"/>
        <v>91.428571428571431</v>
      </c>
      <c r="I132" s="671">
        <f>SUM(I121:I131)</f>
        <v>287</v>
      </c>
      <c r="J132" s="100">
        <f t="shared" si="73"/>
        <v>14.44388525415199</v>
      </c>
      <c r="K132" s="543">
        <f>SUM(K121:K131)</f>
        <v>1987</v>
      </c>
      <c r="L132" s="493">
        <f t="shared" si="74"/>
        <v>100</v>
      </c>
      <c r="M132" s="514">
        <f>SUM(M121:M131)</f>
        <v>1418</v>
      </c>
      <c r="N132" s="533">
        <f t="shared" si="75"/>
        <v>71.363865123301466</v>
      </c>
      <c r="O132" s="514">
        <f>SUM(O121:O131)</f>
        <v>0</v>
      </c>
      <c r="P132" s="514">
        <v>0</v>
      </c>
      <c r="Q132" s="514">
        <v>0</v>
      </c>
      <c r="R132" s="514">
        <v>0</v>
      </c>
      <c r="S132" s="514">
        <f>SUM(S121:S131)</f>
        <v>342</v>
      </c>
      <c r="T132" s="534">
        <f t="shared" si="76"/>
        <v>17.211877201811777</v>
      </c>
      <c r="U132" s="514">
        <f>SUM(U121:U131)</f>
        <v>1473</v>
      </c>
      <c r="V132" s="537">
        <f t="shared" si="77"/>
        <v>74.131857070961246</v>
      </c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</row>
    <row r="133" spans="1:38" s="53" customFormat="1" ht="21" customHeight="1" x14ac:dyDescent="0.35">
      <c r="A133" s="565">
        <v>11</v>
      </c>
      <c r="B133" s="179">
        <v>1</v>
      </c>
      <c r="C133" s="568" t="s">
        <v>167</v>
      </c>
      <c r="D133" s="604" t="s">
        <v>168</v>
      </c>
      <c r="E133" s="470">
        <v>9</v>
      </c>
      <c r="F133" s="611">
        <v>594</v>
      </c>
      <c r="G133" s="479">
        <v>9</v>
      </c>
      <c r="H133" s="480">
        <v>99.745222929936304</v>
      </c>
      <c r="I133" s="484">
        <v>215</v>
      </c>
      <c r="J133" s="480">
        <v>100</v>
      </c>
      <c r="K133" s="484">
        <v>211</v>
      </c>
      <c r="L133" s="480">
        <v>100</v>
      </c>
      <c r="M133" s="484">
        <v>464</v>
      </c>
      <c r="N133" s="500">
        <v>71.974522292993626</v>
      </c>
      <c r="O133" s="484">
        <v>269</v>
      </c>
      <c r="P133" s="501">
        <v>47.00636942675159</v>
      </c>
      <c r="Q133" s="630">
        <v>369</v>
      </c>
      <c r="R133" s="672">
        <f>Q133/F133*100</f>
        <v>62.121212121212125</v>
      </c>
      <c r="S133" s="485">
        <v>200</v>
      </c>
      <c r="T133" s="501">
        <f t="shared" ref="T133:T142" si="78">S133/F133*100</f>
        <v>33.670033670033675</v>
      </c>
      <c r="U133" s="484">
        <v>590</v>
      </c>
      <c r="V133" s="501">
        <f>T133</f>
        <v>33.670033670033675</v>
      </c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</row>
    <row r="134" spans="1:38" s="53" customFormat="1" ht="21" customHeight="1" x14ac:dyDescent="0.35">
      <c r="A134" s="565"/>
      <c r="B134" s="179">
        <v>2</v>
      </c>
      <c r="C134" s="568"/>
      <c r="D134" s="604" t="s">
        <v>169</v>
      </c>
      <c r="E134" s="470">
        <v>2</v>
      </c>
      <c r="F134" s="507">
        <v>96</v>
      </c>
      <c r="G134" s="479">
        <v>2</v>
      </c>
      <c r="H134" s="480">
        <v>99.253731343283576</v>
      </c>
      <c r="I134" s="484">
        <v>38</v>
      </c>
      <c r="J134" s="480">
        <v>100</v>
      </c>
      <c r="K134" s="484">
        <v>42</v>
      </c>
      <c r="L134" s="480">
        <v>100</v>
      </c>
      <c r="M134" s="484">
        <v>82</v>
      </c>
      <c r="N134" s="500">
        <v>59.701492537313428</v>
      </c>
      <c r="O134" s="484">
        <v>64</v>
      </c>
      <c r="P134" s="501">
        <v>40.298507462686565</v>
      </c>
      <c r="Q134" s="630">
        <v>54</v>
      </c>
      <c r="R134" s="672">
        <f t="shared" ref="R134:R142" si="79">Q134/F134*100</f>
        <v>56.25</v>
      </c>
      <c r="S134" s="485">
        <v>50</v>
      </c>
      <c r="T134" s="501">
        <f t="shared" si="78"/>
        <v>52.083333333333336</v>
      </c>
      <c r="U134" s="484">
        <v>90</v>
      </c>
      <c r="V134" s="501">
        <f t="shared" ref="V134:V142" si="80">T134</f>
        <v>52.083333333333336</v>
      </c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</row>
    <row r="135" spans="1:38" s="53" customFormat="1" ht="21" customHeight="1" x14ac:dyDescent="0.35">
      <c r="A135" s="565"/>
      <c r="B135" s="179">
        <v>3</v>
      </c>
      <c r="C135" s="568"/>
      <c r="D135" s="604" t="s">
        <v>170</v>
      </c>
      <c r="E135" s="470">
        <v>2</v>
      </c>
      <c r="F135" s="507">
        <v>149</v>
      </c>
      <c r="G135" s="479">
        <v>2</v>
      </c>
      <c r="H135" s="480">
        <v>99.337748344370851</v>
      </c>
      <c r="I135" s="484">
        <v>43</v>
      </c>
      <c r="J135" s="480">
        <v>100</v>
      </c>
      <c r="K135" s="484">
        <v>47</v>
      </c>
      <c r="L135" s="480">
        <v>100</v>
      </c>
      <c r="M135" s="484">
        <v>47</v>
      </c>
      <c r="N135" s="500">
        <v>58.940397350993379</v>
      </c>
      <c r="O135" s="484">
        <v>57</v>
      </c>
      <c r="P135" s="501">
        <v>39.735099337748345</v>
      </c>
      <c r="Q135" s="630">
        <v>60</v>
      </c>
      <c r="R135" s="672">
        <f t="shared" si="79"/>
        <v>40.268456375838923</v>
      </c>
      <c r="S135" s="485">
        <v>50</v>
      </c>
      <c r="T135" s="501">
        <f t="shared" si="78"/>
        <v>33.557046979865774</v>
      </c>
      <c r="U135" s="484">
        <v>143</v>
      </c>
      <c r="V135" s="501">
        <f t="shared" si="80"/>
        <v>33.557046979865774</v>
      </c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</row>
    <row r="136" spans="1:38" s="53" customFormat="1" ht="21" customHeight="1" x14ac:dyDescent="0.35">
      <c r="A136" s="565"/>
      <c r="B136" s="179">
        <v>4</v>
      </c>
      <c r="C136" s="568"/>
      <c r="D136" s="604" t="s">
        <v>171</v>
      </c>
      <c r="E136" s="470">
        <v>2</v>
      </c>
      <c r="F136" s="507">
        <v>124</v>
      </c>
      <c r="G136" s="479">
        <v>2</v>
      </c>
      <c r="H136" s="480">
        <v>100</v>
      </c>
      <c r="I136" s="484">
        <v>31</v>
      </c>
      <c r="J136" s="480">
        <v>100</v>
      </c>
      <c r="K136" s="484">
        <v>34</v>
      </c>
      <c r="L136" s="480">
        <v>100</v>
      </c>
      <c r="M136" s="484">
        <v>48</v>
      </c>
      <c r="N136" s="500">
        <v>54.225352112676063</v>
      </c>
      <c r="O136" s="484">
        <v>63</v>
      </c>
      <c r="P136" s="501">
        <v>37.323943661971832</v>
      </c>
      <c r="Q136" s="630">
        <v>53</v>
      </c>
      <c r="R136" s="672">
        <f t="shared" si="79"/>
        <v>42.741935483870968</v>
      </c>
      <c r="S136" s="485">
        <v>40</v>
      </c>
      <c r="T136" s="501">
        <f t="shared" si="78"/>
        <v>32.258064516129032</v>
      </c>
      <c r="U136" s="484">
        <v>118</v>
      </c>
      <c r="V136" s="501">
        <f t="shared" si="80"/>
        <v>32.258064516129032</v>
      </c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</row>
    <row r="137" spans="1:38" s="53" customFormat="1" ht="21" customHeight="1" x14ac:dyDescent="0.35">
      <c r="A137" s="565"/>
      <c r="B137" s="179">
        <v>5</v>
      </c>
      <c r="C137" s="568"/>
      <c r="D137" s="604" t="s">
        <v>175</v>
      </c>
      <c r="E137" s="470">
        <v>2</v>
      </c>
      <c r="F137" s="507">
        <v>89</v>
      </c>
      <c r="G137" s="479">
        <v>2</v>
      </c>
      <c r="H137" s="480">
        <v>100</v>
      </c>
      <c r="I137" s="484">
        <v>22</v>
      </c>
      <c r="J137" s="480">
        <v>100</v>
      </c>
      <c r="K137" s="484">
        <v>27</v>
      </c>
      <c r="L137" s="480">
        <v>100</v>
      </c>
      <c r="M137" s="484">
        <v>35</v>
      </c>
      <c r="N137" s="500">
        <v>44.859813084112147</v>
      </c>
      <c r="O137" s="484">
        <v>44</v>
      </c>
      <c r="P137" s="501">
        <v>46.728971962616825</v>
      </c>
      <c r="Q137" s="630">
        <v>50</v>
      </c>
      <c r="R137" s="672">
        <f t="shared" si="79"/>
        <v>56.17977528089888</v>
      </c>
      <c r="S137" s="485">
        <v>40</v>
      </c>
      <c r="T137" s="501">
        <f t="shared" si="78"/>
        <v>44.943820224719097</v>
      </c>
      <c r="U137" s="484">
        <v>85</v>
      </c>
      <c r="V137" s="501">
        <f t="shared" si="80"/>
        <v>44.943820224719097</v>
      </c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</row>
    <row r="138" spans="1:38" s="53" customFormat="1" ht="21" customHeight="1" x14ac:dyDescent="0.35">
      <c r="A138" s="565"/>
      <c r="B138" s="179">
        <v>6</v>
      </c>
      <c r="C138" s="568"/>
      <c r="D138" s="604" t="s">
        <v>174</v>
      </c>
      <c r="E138" s="470">
        <v>5</v>
      </c>
      <c r="F138" s="507">
        <v>216</v>
      </c>
      <c r="G138" s="479">
        <v>5</v>
      </c>
      <c r="H138" s="480">
        <v>96.610169491525426</v>
      </c>
      <c r="I138" s="484">
        <v>46</v>
      </c>
      <c r="J138" s="480">
        <v>100</v>
      </c>
      <c r="K138" s="484">
        <v>56</v>
      </c>
      <c r="L138" s="480">
        <v>100</v>
      </c>
      <c r="M138" s="484">
        <v>131</v>
      </c>
      <c r="N138" s="500">
        <v>44.915254237288138</v>
      </c>
      <c r="O138" s="484">
        <v>158</v>
      </c>
      <c r="P138" s="501">
        <v>30.932203389830509</v>
      </c>
      <c r="Q138" s="630">
        <v>73</v>
      </c>
      <c r="R138" s="672">
        <f t="shared" si="79"/>
        <v>33.796296296296298</v>
      </c>
      <c r="S138" s="485">
        <v>100</v>
      </c>
      <c r="T138" s="501">
        <f t="shared" si="78"/>
        <v>46.296296296296298</v>
      </c>
      <c r="U138" s="484">
        <v>215</v>
      </c>
      <c r="V138" s="501">
        <f t="shared" si="80"/>
        <v>46.296296296296298</v>
      </c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</row>
    <row r="139" spans="1:38" s="53" customFormat="1" ht="21" customHeight="1" x14ac:dyDescent="0.35">
      <c r="A139" s="565"/>
      <c r="B139" s="179">
        <v>7</v>
      </c>
      <c r="C139" s="568"/>
      <c r="D139" s="604" t="s">
        <v>172</v>
      </c>
      <c r="E139" s="470">
        <v>4</v>
      </c>
      <c r="F139" s="507">
        <v>231</v>
      </c>
      <c r="G139" s="479">
        <v>4</v>
      </c>
      <c r="H139" s="480">
        <v>100</v>
      </c>
      <c r="I139" s="484">
        <v>57</v>
      </c>
      <c r="J139" s="480">
        <v>100</v>
      </c>
      <c r="K139" s="484">
        <v>50</v>
      </c>
      <c r="L139" s="480">
        <v>100</v>
      </c>
      <c r="M139" s="484">
        <v>160</v>
      </c>
      <c r="N139" s="500">
        <v>60.082304526748977</v>
      </c>
      <c r="O139" s="484">
        <v>126</v>
      </c>
      <c r="P139" s="501">
        <v>30.041152263374489</v>
      </c>
      <c r="Q139" s="630">
        <v>73</v>
      </c>
      <c r="R139" s="672">
        <f t="shared" si="79"/>
        <v>31.601731601731604</v>
      </c>
      <c r="S139" s="485">
        <v>120</v>
      </c>
      <c r="T139" s="501">
        <f t="shared" si="78"/>
        <v>51.94805194805194</v>
      </c>
      <c r="U139" s="484">
        <v>225</v>
      </c>
      <c r="V139" s="501">
        <f t="shared" si="80"/>
        <v>51.94805194805194</v>
      </c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</row>
    <row r="140" spans="1:38" s="53" customFormat="1" ht="21" customHeight="1" x14ac:dyDescent="0.35">
      <c r="A140" s="565"/>
      <c r="B140" s="179">
        <v>8</v>
      </c>
      <c r="C140" s="568"/>
      <c r="D140" s="604" t="s">
        <v>178</v>
      </c>
      <c r="E140" s="470">
        <v>4</v>
      </c>
      <c r="F140" s="507">
        <v>171</v>
      </c>
      <c r="G140" s="479">
        <v>4</v>
      </c>
      <c r="H140" s="480">
        <v>93.596059113300484</v>
      </c>
      <c r="I140" s="484">
        <v>40</v>
      </c>
      <c r="J140" s="480">
        <v>100</v>
      </c>
      <c r="K140" s="484">
        <v>46</v>
      </c>
      <c r="L140" s="480">
        <v>100</v>
      </c>
      <c r="M140" s="484">
        <v>158</v>
      </c>
      <c r="N140" s="500">
        <v>39.901477832512313</v>
      </c>
      <c r="O140" s="484">
        <v>105</v>
      </c>
      <c r="P140" s="501">
        <v>37.931034482758619</v>
      </c>
      <c r="Q140" s="630">
        <v>77</v>
      </c>
      <c r="R140" s="672">
        <f t="shared" si="79"/>
        <v>45.029239766081872</v>
      </c>
      <c r="S140" s="485">
        <v>110</v>
      </c>
      <c r="T140" s="501">
        <f t="shared" si="78"/>
        <v>64.327485380116954</v>
      </c>
      <c r="U140" s="484">
        <v>165</v>
      </c>
      <c r="V140" s="501">
        <f t="shared" si="80"/>
        <v>64.327485380116954</v>
      </c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</row>
    <row r="141" spans="1:38" s="53" customFormat="1" ht="21" customHeight="1" x14ac:dyDescent="0.35">
      <c r="A141" s="565"/>
      <c r="B141" s="179">
        <v>9</v>
      </c>
      <c r="C141" s="568"/>
      <c r="D141" s="604" t="s">
        <v>173</v>
      </c>
      <c r="E141" s="470">
        <v>2</v>
      </c>
      <c r="F141" s="507">
        <v>116</v>
      </c>
      <c r="G141" s="479">
        <v>2</v>
      </c>
      <c r="H141" s="480">
        <v>99.248120300751879</v>
      </c>
      <c r="I141" s="484">
        <v>35</v>
      </c>
      <c r="J141" s="480">
        <v>100</v>
      </c>
      <c r="K141" s="484">
        <v>39</v>
      </c>
      <c r="L141" s="480">
        <v>100</v>
      </c>
      <c r="M141" s="484">
        <v>76</v>
      </c>
      <c r="N141" s="500">
        <v>47.368421052631575</v>
      </c>
      <c r="O141" s="484">
        <v>79</v>
      </c>
      <c r="P141" s="501">
        <v>38.345864661654133</v>
      </c>
      <c r="Q141" s="630">
        <v>63</v>
      </c>
      <c r="R141" s="672">
        <f t="shared" si="79"/>
        <v>54.310344827586206</v>
      </c>
      <c r="S141" s="485">
        <v>70</v>
      </c>
      <c r="T141" s="501">
        <f t="shared" si="78"/>
        <v>60.344827586206897</v>
      </c>
      <c r="U141" s="484">
        <v>110</v>
      </c>
      <c r="V141" s="501">
        <f t="shared" si="80"/>
        <v>60.344827586206897</v>
      </c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</row>
    <row r="142" spans="1:38" s="53" customFormat="1" ht="21" customHeight="1" x14ac:dyDescent="0.35">
      <c r="A142" s="565"/>
      <c r="B142" s="179">
        <v>10</v>
      </c>
      <c r="C142" s="568"/>
      <c r="D142" s="604" t="s">
        <v>177</v>
      </c>
      <c r="E142" s="470">
        <v>3</v>
      </c>
      <c r="F142" s="507">
        <v>92</v>
      </c>
      <c r="G142" s="479">
        <v>2</v>
      </c>
      <c r="H142" s="480">
        <v>91.044776119402982</v>
      </c>
      <c r="I142" s="484">
        <v>34</v>
      </c>
      <c r="J142" s="480">
        <v>100</v>
      </c>
      <c r="K142" s="484">
        <v>36</v>
      </c>
      <c r="L142" s="480">
        <v>100</v>
      </c>
      <c r="M142" s="484">
        <v>66</v>
      </c>
      <c r="N142" s="500">
        <v>59.701492537313428</v>
      </c>
      <c r="O142" s="484">
        <v>76</v>
      </c>
      <c r="P142" s="501">
        <v>41.791044776119399</v>
      </c>
      <c r="Q142" s="630">
        <v>40</v>
      </c>
      <c r="R142" s="672">
        <f t="shared" si="79"/>
        <v>43.478260869565219</v>
      </c>
      <c r="S142" s="485">
        <v>50</v>
      </c>
      <c r="T142" s="501">
        <f t="shared" si="78"/>
        <v>54.347826086956516</v>
      </c>
      <c r="U142" s="484">
        <v>89</v>
      </c>
      <c r="V142" s="501">
        <f t="shared" si="80"/>
        <v>54.347826086956516</v>
      </c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</row>
    <row r="143" spans="1:38" s="53" customFormat="1" ht="21" customHeight="1" x14ac:dyDescent="0.35">
      <c r="A143" s="566"/>
      <c r="B143" s="541"/>
      <c r="C143" s="510" t="s">
        <v>2</v>
      </c>
      <c r="D143" s="124">
        <v>10</v>
      </c>
      <c r="E143" s="514">
        <f>SUM(E133:E142)</f>
        <v>35</v>
      </c>
      <c r="F143" s="543">
        <f>SUM(F133:F142)</f>
        <v>1878</v>
      </c>
      <c r="G143" s="543">
        <f t="shared" ref="G143:U143" si="81">SUM(G133:G142)</f>
        <v>34</v>
      </c>
      <c r="H143" s="543">
        <f t="shared" si="81"/>
        <v>978.83582764257153</v>
      </c>
      <c r="I143" s="543">
        <f t="shared" si="81"/>
        <v>561</v>
      </c>
      <c r="J143" s="543"/>
      <c r="K143" s="543">
        <f t="shared" si="81"/>
        <v>588</v>
      </c>
      <c r="L143" s="543"/>
      <c r="M143" s="543">
        <f t="shared" si="81"/>
        <v>1267</v>
      </c>
      <c r="N143" s="543"/>
      <c r="O143" s="543">
        <f>SUM(O133:O142)</f>
        <v>1041</v>
      </c>
      <c r="P143" s="543"/>
      <c r="Q143" s="673">
        <f t="shared" si="81"/>
        <v>912</v>
      </c>
      <c r="R143" s="673"/>
      <c r="S143" s="543">
        <f t="shared" si="81"/>
        <v>830</v>
      </c>
      <c r="T143" s="543"/>
      <c r="U143" s="543">
        <f t="shared" si="81"/>
        <v>1830</v>
      </c>
      <c r="V143" s="543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</row>
  </sheetData>
  <mergeCells count="34">
    <mergeCell ref="F25:F27"/>
    <mergeCell ref="O7:P7"/>
    <mergeCell ref="Q7:R7"/>
    <mergeCell ref="U26:V26"/>
    <mergeCell ref="S26:T26"/>
    <mergeCell ref="A25:B27"/>
    <mergeCell ref="A3:V3"/>
    <mergeCell ref="A4:V4"/>
    <mergeCell ref="K26:L26"/>
    <mergeCell ref="M26:N26"/>
    <mergeCell ref="G26:H26"/>
    <mergeCell ref="I26:J26"/>
    <mergeCell ref="O26:P26"/>
    <mergeCell ref="Q26:R26"/>
    <mergeCell ref="B24:V24"/>
    <mergeCell ref="C25:C27"/>
    <mergeCell ref="D25:D27"/>
    <mergeCell ref="S7:T7"/>
    <mergeCell ref="U7:V7"/>
    <mergeCell ref="G25:V25"/>
    <mergeCell ref="E25:E27"/>
    <mergeCell ref="C21:D21"/>
    <mergeCell ref="B2:V2"/>
    <mergeCell ref="B5:V5"/>
    <mergeCell ref="A6:B8"/>
    <mergeCell ref="C6:C8"/>
    <mergeCell ref="D6:D8"/>
    <mergeCell ref="E6:E8"/>
    <mergeCell ref="F6:F8"/>
    <mergeCell ref="G6:V6"/>
    <mergeCell ref="G7:H7"/>
    <mergeCell ref="I7:J7"/>
    <mergeCell ref="K7:L7"/>
    <mergeCell ref="M7:N7"/>
  </mergeCells>
  <printOptions horizontalCentered="1"/>
  <pageMargins left="0.47244094488188981" right="0.47244094488188981" top="0.74803149606299213" bottom="0.74803149606299213" header="0.31496062992125984" footer="0.31496062992125984"/>
  <pageSetup paperSize="9" scale="50" orientation="landscape" horizontalDpi="4294967293" r:id="rId1"/>
  <rowBreaks count="2" manualBreakCount="2">
    <brk id="33" max="22" man="1"/>
    <brk id="60" max="22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0">
    <tabColor rgb="FFC00000"/>
  </sheetPr>
  <dimension ref="A2:S150"/>
  <sheetViews>
    <sheetView view="pageBreakPreview" zoomScale="70" zoomScaleNormal="70" zoomScaleSheetLayoutView="70" workbookViewId="0">
      <selection activeCell="N14" sqref="N14"/>
    </sheetView>
  </sheetViews>
  <sheetFormatPr defaultColWidth="9.7265625" defaultRowHeight="15.5" x14ac:dyDescent="0.35"/>
  <cols>
    <col min="1" max="1" width="5.54296875" style="1" customWidth="1"/>
    <col min="2" max="2" width="6.453125" style="1" customWidth="1"/>
    <col min="3" max="3" width="25.1796875" style="1" customWidth="1"/>
    <col min="4" max="4" width="24.7265625" style="1" customWidth="1"/>
    <col min="5" max="5" width="13.54296875" style="1" customWidth="1"/>
    <col min="6" max="6" width="12.26953125" style="1" customWidth="1"/>
    <col min="7" max="7" width="16.81640625" style="1" customWidth="1"/>
    <col min="8" max="19" width="9.7265625" style="1" customWidth="1"/>
    <col min="20" max="244" width="19" style="1" customWidth="1"/>
    <col min="245" max="245" width="4" style="1" customWidth="1"/>
    <col min="246" max="247" width="21.7265625" style="1" customWidth="1"/>
    <col min="248" max="253" width="9.7265625" style="1"/>
    <col min="254" max="254" width="6.453125" style="1" customWidth="1"/>
    <col min="255" max="256" width="21.7265625" style="1" customWidth="1"/>
    <col min="257" max="257" width="13.54296875" style="1" customWidth="1"/>
    <col min="258" max="258" width="12.26953125" style="1" customWidth="1"/>
    <col min="259" max="259" width="15.1796875" style="1" customWidth="1"/>
    <col min="260" max="271" width="9.7265625" style="1"/>
    <col min="272" max="500" width="19" style="1" customWidth="1"/>
    <col min="501" max="501" width="4" style="1" customWidth="1"/>
    <col min="502" max="503" width="21.7265625" style="1" customWidth="1"/>
    <col min="504" max="509" width="9.7265625" style="1"/>
    <col min="510" max="510" width="6.453125" style="1" customWidth="1"/>
    <col min="511" max="512" width="21.7265625" style="1" customWidth="1"/>
    <col min="513" max="513" width="13.54296875" style="1" customWidth="1"/>
    <col min="514" max="514" width="12.26953125" style="1" customWidth="1"/>
    <col min="515" max="515" width="15.1796875" style="1" customWidth="1"/>
    <col min="516" max="527" width="9.7265625" style="1"/>
    <col min="528" max="756" width="19" style="1" customWidth="1"/>
    <col min="757" max="757" width="4" style="1" customWidth="1"/>
    <col min="758" max="759" width="21.7265625" style="1" customWidth="1"/>
    <col min="760" max="765" width="9.7265625" style="1"/>
    <col min="766" max="766" width="6.453125" style="1" customWidth="1"/>
    <col min="767" max="768" width="21.7265625" style="1" customWidth="1"/>
    <col min="769" max="769" width="13.54296875" style="1" customWidth="1"/>
    <col min="770" max="770" width="12.26953125" style="1" customWidth="1"/>
    <col min="771" max="771" width="15.1796875" style="1" customWidth="1"/>
    <col min="772" max="783" width="9.7265625" style="1"/>
    <col min="784" max="1012" width="19" style="1" customWidth="1"/>
    <col min="1013" max="1013" width="4" style="1" customWidth="1"/>
    <col min="1014" max="1015" width="21.7265625" style="1" customWidth="1"/>
    <col min="1016" max="1021" width="9.7265625" style="1"/>
    <col min="1022" max="1022" width="6.453125" style="1" customWidth="1"/>
    <col min="1023" max="1024" width="21.7265625" style="1" customWidth="1"/>
    <col min="1025" max="1025" width="13.54296875" style="1" customWidth="1"/>
    <col min="1026" max="1026" width="12.26953125" style="1" customWidth="1"/>
    <col min="1027" max="1027" width="15.1796875" style="1" customWidth="1"/>
    <col min="1028" max="1039" width="9.7265625" style="1"/>
    <col min="1040" max="1268" width="19" style="1" customWidth="1"/>
    <col min="1269" max="1269" width="4" style="1" customWidth="1"/>
    <col min="1270" max="1271" width="21.7265625" style="1" customWidth="1"/>
    <col min="1272" max="1277" width="9.7265625" style="1"/>
    <col min="1278" max="1278" width="6.453125" style="1" customWidth="1"/>
    <col min="1279" max="1280" width="21.7265625" style="1" customWidth="1"/>
    <col min="1281" max="1281" width="13.54296875" style="1" customWidth="1"/>
    <col min="1282" max="1282" width="12.26953125" style="1" customWidth="1"/>
    <col min="1283" max="1283" width="15.1796875" style="1" customWidth="1"/>
    <col min="1284" max="1295" width="9.7265625" style="1"/>
    <col min="1296" max="1524" width="19" style="1" customWidth="1"/>
    <col min="1525" max="1525" width="4" style="1" customWidth="1"/>
    <col min="1526" max="1527" width="21.7265625" style="1" customWidth="1"/>
    <col min="1528" max="1533" width="9.7265625" style="1"/>
    <col min="1534" max="1534" width="6.453125" style="1" customWidth="1"/>
    <col min="1535" max="1536" width="21.7265625" style="1" customWidth="1"/>
    <col min="1537" max="1537" width="13.54296875" style="1" customWidth="1"/>
    <col min="1538" max="1538" width="12.26953125" style="1" customWidth="1"/>
    <col min="1539" max="1539" width="15.1796875" style="1" customWidth="1"/>
    <col min="1540" max="1551" width="9.7265625" style="1"/>
    <col min="1552" max="1780" width="19" style="1" customWidth="1"/>
    <col min="1781" max="1781" width="4" style="1" customWidth="1"/>
    <col min="1782" max="1783" width="21.7265625" style="1" customWidth="1"/>
    <col min="1784" max="1789" width="9.7265625" style="1"/>
    <col min="1790" max="1790" width="6.453125" style="1" customWidth="1"/>
    <col min="1791" max="1792" width="21.7265625" style="1" customWidth="1"/>
    <col min="1793" max="1793" width="13.54296875" style="1" customWidth="1"/>
    <col min="1794" max="1794" width="12.26953125" style="1" customWidth="1"/>
    <col min="1795" max="1795" width="15.1796875" style="1" customWidth="1"/>
    <col min="1796" max="1807" width="9.7265625" style="1"/>
    <col min="1808" max="2036" width="19" style="1" customWidth="1"/>
    <col min="2037" max="2037" width="4" style="1" customWidth="1"/>
    <col min="2038" max="2039" width="21.7265625" style="1" customWidth="1"/>
    <col min="2040" max="2045" width="9.7265625" style="1"/>
    <col min="2046" max="2046" width="6.453125" style="1" customWidth="1"/>
    <col min="2047" max="2048" width="21.7265625" style="1" customWidth="1"/>
    <col min="2049" max="2049" width="13.54296875" style="1" customWidth="1"/>
    <col min="2050" max="2050" width="12.26953125" style="1" customWidth="1"/>
    <col min="2051" max="2051" width="15.1796875" style="1" customWidth="1"/>
    <col min="2052" max="2063" width="9.7265625" style="1"/>
    <col min="2064" max="2292" width="19" style="1" customWidth="1"/>
    <col min="2293" max="2293" width="4" style="1" customWidth="1"/>
    <col min="2294" max="2295" width="21.7265625" style="1" customWidth="1"/>
    <col min="2296" max="2301" width="9.7265625" style="1"/>
    <col min="2302" max="2302" width="6.453125" style="1" customWidth="1"/>
    <col min="2303" max="2304" width="21.7265625" style="1" customWidth="1"/>
    <col min="2305" max="2305" width="13.54296875" style="1" customWidth="1"/>
    <col min="2306" max="2306" width="12.26953125" style="1" customWidth="1"/>
    <col min="2307" max="2307" width="15.1796875" style="1" customWidth="1"/>
    <col min="2308" max="2319" width="9.7265625" style="1"/>
    <col min="2320" max="2548" width="19" style="1" customWidth="1"/>
    <col min="2549" max="2549" width="4" style="1" customWidth="1"/>
    <col min="2550" max="2551" width="21.7265625" style="1" customWidth="1"/>
    <col min="2552" max="2557" width="9.7265625" style="1"/>
    <col min="2558" max="2558" width="6.453125" style="1" customWidth="1"/>
    <col min="2559" max="2560" width="21.7265625" style="1" customWidth="1"/>
    <col min="2561" max="2561" width="13.54296875" style="1" customWidth="1"/>
    <col min="2562" max="2562" width="12.26953125" style="1" customWidth="1"/>
    <col min="2563" max="2563" width="15.1796875" style="1" customWidth="1"/>
    <col min="2564" max="2575" width="9.7265625" style="1"/>
    <col min="2576" max="2804" width="19" style="1" customWidth="1"/>
    <col min="2805" max="2805" width="4" style="1" customWidth="1"/>
    <col min="2806" max="2807" width="21.7265625" style="1" customWidth="1"/>
    <col min="2808" max="2813" width="9.7265625" style="1"/>
    <col min="2814" max="2814" width="6.453125" style="1" customWidth="1"/>
    <col min="2815" max="2816" width="21.7265625" style="1" customWidth="1"/>
    <col min="2817" max="2817" width="13.54296875" style="1" customWidth="1"/>
    <col min="2818" max="2818" width="12.26953125" style="1" customWidth="1"/>
    <col min="2819" max="2819" width="15.1796875" style="1" customWidth="1"/>
    <col min="2820" max="2831" width="9.7265625" style="1"/>
    <col min="2832" max="3060" width="19" style="1" customWidth="1"/>
    <col min="3061" max="3061" width="4" style="1" customWidth="1"/>
    <col min="3062" max="3063" width="21.7265625" style="1" customWidth="1"/>
    <col min="3064" max="3069" width="9.7265625" style="1"/>
    <col min="3070" max="3070" width="6.453125" style="1" customWidth="1"/>
    <col min="3071" max="3072" width="21.7265625" style="1" customWidth="1"/>
    <col min="3073" max="3073" width="13.54296875" style="1" customWidth="1"/>
    <col min="3074" max="3074" width="12.26953125" style="1" customWidth="1"/>
    <col min="3075" max="3075" width="15.1796875" style="1" customWidth="1"/>
    <col min="3076" max="3087" width="9.7265625" style="1"/>
    <col min="3088" max="3316" width="19" style="1" customWidth="1"/>
    <col min="3317" max="3317" width="4" style="1" customWidth="1"/>
    <col min="3318" max="3319" width="21.7265625" style="1" customWidth="1"/>
    <col min="3320" max="3325" width="9.7265625" style="1"/>
    <col min="3326" max="3326" width="6.453125" style="1" customWidth="1"/>
    <col min="3327" max="3328" width="21.7265625" style="1" customWidth="1"/>
    <col min="3329" max="3329" width="13.54296875" style="1" customWidth="1"/>
    <col min="3330" max="3330" width="12.26953125" style="1" customWidth="1"/>
    <col min="3331" max="3331" width="15.1796875" style="1" customWidth="1"/>
    <col min="3332" max="3343" width="9.7265625" style="1"/>
    <col min="3344" max="3572" width="19" style="1" customWidth="1"/>
    <col min="3573" max="3573" width="4" style="1" customWidth="1"/>
    <col min="3574" max="3575" width="21.7265625" style="1" customWidth="1"/>
    <col min="3576" max="3581" width="9.7265625" style="1"/>
    <col min="3582" max="3582" width="6.453125" style="1" customWidth="1"/>
    <col min="3583" max="3584" width="21.7265625" style="1" customWidth="1"/>
    <col min="3585" max="3585" width="13.54296875" style="1" customWidth="1"/>
    <col min="3586" max="3586" width="12.26953125" style="1" customWidth="1"/>
    <col min="3587" max="3587" width="15.1796875" style="1" customWidth="1"/>
    <col min="3588" max="3599" width="9.7265625" style="1"/>
    <col min="3600" max="3828" width="19" style="1" customWidth="1"/>
    <col min="3829" max="3829" width="4" style="1" customWidth="1"/>
    <col min="3830" max="3831" width="21.7265625" style="1" customWidth="1"/>
    <col min="3832" max="3837" width="9.7265625" style="1"/>
    <col min="3838" max="3838" width="6.453125" style="1" customWidth="1"/>
    <col min="3839" max="3840" width="21.7265625" style="1" customWidth="1"/>
    <col min="3841" max="3841" width="13.54296875" style="1" customWidth="1"/>
    <col min="3842" max="3842" width="12.26953125" style="1" customWidth="1"/>
    <col min="3843" max="3843" width="15.1796875" style="1" customWidth="1"/>
    <col min="3844" max="3855" width="9.7265625" style="1"/>
    <col min="3856" max="4084" width="19" style="1" customWidth="1"/>
    <col min="4085" max="4085" width="4" style="1" customWidth="1"/>
    <col min="4086" max="4087" width="21.7265625" style="1" customWidth="1"/>
    <col min="4088" max="4093" width="9.7265625" style="1"/>
    <col min="4094" max="4094" width="6.453125" style="1" customWidth="1"/>
    <col min="4095" max="4096" width="21.7265625" style="1" customWidth="1"/>
    <col min="4097" max="4097" width="13.54296875" style="1" customWidth="1"/>
    <col min="4098" max="4098" width="12.26953125" style="1" customWidth="1"/>
    <col min="4099" max="4099" width="15.1796875" style="1" customWidth="1"/>
    <col min="4100" max="4111" width="9.7265625" style="1"/>
    <col min="4112" max="4340" width="19" style="1" customWidth="1"/>
    <col min="4341" max="4341" width="4" style="1" customWidth="1"/>
    <col min="4342" max="4343" width="21.7265625" style="1" customWidth="1"/>
    <col min="4344" max="4349" width="9.7265625" style="1"/>
    <col min="4350" max="4350" width="6.453125" style="1" customWidth="1"/>
    <col min="4351" max="4352" width="21.7265625" style="1" customWidth="1"/>
    <col min="4353" max="4353" width="13.54296875" style="1" customWidth="1"/>
    <col min="4354" max="4354" width="12.26953125" style="1" customWidth="1"/>
    <col min="4355" max="4355" width="15.1796875" style="1" customWidth="1"/>
    <col min="4356" max="4367" width="9.7265625" style="1"/>
    <col min="4368" max="4596" width="19" style="1" customWidth="1"/>
    <col min="4597" max="4597" width="4" style="1" customWidth="1"/>
    <col min="4598" max="4599" width="21.7265625" style="1" customWidth="1"/>
    <col min="4600" max="4605" width="9.7265625" style="1"/>
    <col min="4606" max="4606" width="6.453125" style="1" customWidth="1"/>
    <col min="4607" max="4608" width="21.7265625" style="1" customWidth="1"/>
    <col min="4609" max="4609" width="13.54296875" style="1" customWidth="1"/>
    <col min="4610" max="4610" width="12.26953125" style="1" customWidth="1"/>
    <col min="4611" max="4611" width="15.1796875" style="1" customWidth="1"/>
    <col min="4612" max="4623" width="9.7265625" style="1"/>
    <col min="4624" max="4852" width="19" style="1" customWidth="1"/>
    <col min="4853" max="4853" width="4" style="1" customWidth="1"/>
    <col min="4854" max="4855" width="21.7265625" style="1" customWidth="1"/>
    <col min="4856" max="4861" width="9.7265625" style="1"/>
    <col min="4862" max="4862" width="6.453125" style="1" customWidth="1"/>
    <col min="4863" max="4864" width="21.7265625" style="1" customWidth="1"/>
    <col min="4865" max="4865" width="13.54296875" style="1" customWidth="1"/>
    <col min="4866" max="4866" width="12.26953125" style="1" customWidth="1"/>
    <col min="4867" max="4867" width="15.1796875" style="1" customWidth="1"/>
    <col min="4868" max="4879" width="9.7265625" style="1"/>
    <col min="4880" max="5108" width="19" style="1" customWidth="1"/>
    <col min="5109" max="5109" width="4" style="1" customWidth="1"/>
    <col min="5110" max="5111" width="21.7265625" style="1" customWidth="1"/>
    <col min="5112" max="5117" width="9.7265625" style="1"/>
    <col min="5118" max="5118" width="6.453125" style="1" customWidth="1"/>
    <col min="5119" max="5120" width="21.7265625" style="1" customWidth="1"/>
    <col min="5121" max="5121" width="13.54296875" style="1" customWidth="1"/>
    <col min="5122" max="5122" width="12.26953125" style="1" customWidth="1"/>
    <col min="5123" max="5123" width="15.1796875" style="1" customWidth="1"/>
    <col min="5124" max="5135" width="9.7265625" style="1"/>
    <col min="5136" max="5364" width="19" style="1" customWidth="1"/>
    <col min="5365" max="5365" width="4" style="1" customWidth="1"/>
    <col min="5366" max="5367" width="21.7265625" style="1" customWidth="1"/>
    <col min="5368" max="5373" width="9.7265625" style="1"/>
    <col min="5374" max="5374" width="6.453125" style="1" customWidth="1"/>
    <col min="5375" max="5376" width="21.7265625" style="1" customWidth="1"/>
    <col min="5377" max="5377" width="13.54296875" style="1" customWidth="1"/>
    <col min="5378" max="5378" width="12.26953125" style="1" customWidth="1"/>
    <col min="5379" max="5379" width="15.1796875" style="1" customWidth="1"/>
    <col min="5380" max="5391" width="9.7265625" style="1"/>
    <col min="5392" max="5620" width="19" style="1" customWidth="1"/>
    <col min="5621" max="5621" width="4" style="1" customWidth="1"/>
    <col min="5622" max="5623" width="21.7265625" style="1" customWidth="1"/>
    <col min="5624" max="5629" width="9.7265625" style="1"/>
    <col min="5630" max="5630" width="6.453125" style="1" customWidth="1"/>
    <col min="5631" max="5632" width="21.7265625" style="1" customWidth="1"/>
    <col min="5633" max="5633" width="13.54296875" style="1" customWidth="1"/>
    <col min="5634" max="5634" width="12.26953125" style="1" customWidth="1"/>
    <col min="5635" max="5635" width="15.1796875" style="1" customWidth="1"/>
    <col min="5636" max="5647" width="9.7265625" style="1"/>
    <col min="5648" max="5876" width="19" style="1" customWidth="1"/>
    <col min="5877" max="5877" width="4" style="1" customWidth="1"/>
    <col min="5878" max="5879" width="21.7265625" style="1" customWidth="1"/>
    <col min="5880" max="5885" width="9.7265625" style="1"/>
    <col min="5886" max="5886" width="6.453125" style="1" customWidth="1"/>
    <col min="5887" max="5888" width="21.7265625" style="1" customWidth="1"/>
    <col min="5889" max="5889" width="13.54296875" style="1" customWidth="1"/>
    <col min="5890" max="5890" width="12.26953125" style="1" customWidth="1"/>
    <col min="5891" max="5891" width="15.1796875" style="1" customWidth="1"/>
    <col min="5892" max="5903" width="9.7265625" style="1"/>
    <col min="5904" max="6132" width="19" style="1" customWidth="1"/>
    <col min="6133" max="6133" width="4" style="1" customWidth="1"/>
    <col min="6134" max="6135" width="21.7265625" style="1" customWidth="1"/>
    <col min="6136" max="6141" width="9.7265625" style="1"/>
    <col min="6142" max="6142" width="6.453125" style="1" customWidth="1"/>
    <col min="6143" max="6144" width="21.7265625" style="1" customWidth="1"/>
    <col min="6145" max="6145" width="13.54296875" style="1" customWidth="1"/>
    <col min="6146" max="6146" width="12.26953125" style="1" customWidth="1"/>
    <col min="6147" max="6147" width="15.1796875" style="1" customWidth="1"/>
    <col min="6148" max="6159" width="9.7265625" style="1"/>
    <col min="6160" max="6388" width="19" style="1" customWidth="1"/>
    <col min="6389" max="6389" width="4" style="1" customWidth="1"/>
    <col min="6390" max="6391" width="21.7265625" style="1" customWidth="1"/>
    <col min="6392" max="6397" width="9.7265625" style="1"/>
    <col min="6398" max="6398" width="6.453125" style="1" customWidth="1"/>
    <col min="6399" max="6400" width="21.7265625" style="1" customWidth="1"/>
    <col min="6401" max="6401" width="13.54296875" style="1" customWidth="1"/>
    <col min="6402" max="6402" width="12.26953125" style="1" customWidth="1"/>
    <col min="6403" max="6403" width="15.1796875" style="1" customWidth="1"/>
    <col min="6404" max="6415" width="9.7265625" style="1"/>
    <col min="6416" max="6644" width="19" style="1" customWidth="1"/>
    <col min="6645" max="6645" width="4" style="1" customWidth="1"/>
    <col min="6646" max="6647" width="21.7265625" style="1" customWidth="1"/>
    <col min="6648" max="6653" width="9.7265625" style="1"/>
    <col min="6654" max="6654" width="6.453125" style="1" customWidth="1"/>
    <col min="6655" max="6656" width="21.7265625" style="1" customWidth="1"/>
    <col min="6657" max="6657" width="13.54296875" style="1" customWidth="1"/>
    <col min="6658" max="6658" width="12.26953125" style="1" customWidth="1"/>
    <col min="6659" max="6659" width="15.1796875" style="1" customWidth="1"/>
    <col min="6660" max="6671" width="9.7265625" style="1"/>
    <col min="6672" max="6900" width="19" style="1" customWidth="1"/>
    <col min="6901" max="6901" width="4" style="1" customWidth="1"/>
    <col min="6902" max="6903" width="21.7265625" style="1" customWidth="1"/>
    <col min="6904" max="6909" width="9.7265625" style="1"/>
    <col min="6910" max="6910" width="6.453125" style="1" customWidth="1"/>
    <col min="6911" max="6912" width="21.7265625" style="1" customWidth="1"/>
    <col min="6913" max="6913" width="13.54296875" style="1" customWidth="1"/>
    <col min="6914" max="6914" width="12.26953125" style="1" customWidth="1"/>
    <col min="6915" max="6915" width="15.1796875" style="1" customWidth="1"/>
    <col min="6916" max="6927" width="9.7265625" style="1"/>
    <col min="6928" max="7156" width="19" style="1" customWidth="1"/>
    <col min="7157" max="7157" width="4" style="1" customWidth="1"/>
    <col min="7158" max="7159" width="21.7265625" style="1" customWidth="1"/>
    <col min="7160" max="7165" width="9.7265625" style="1"/>
    <col min="7166" max="7166" width="6.453125" style="1" customWidth="1"/>
    <col min="7167" max="7168" width="21.7265625" style="1" customWidth="1"/>
    <col min="7169" max="7169" width="13.54296875" style="1" customWidth="1"/>
    <col min="7170" max="7170" width="12.26953125" style="1" customWidth="1"/>
    <col min="7171" max="7171" width="15.1796875" style="1" customWidth="1"/>
    <col min="7172" max="7183" width="9.7265625" style="1"/>
    <col min="7184" max="7412" width="19" style="1" customWidth="1"/>
    <col min="7413" max="7413" width="4" style="1" customWidth="1"/>
    <col min="7414" max="7415" width="21.7265625" style="1" customWidth="1"/>
    <col min="7416" max="7421" width="9.7265625" style="1"/>
    <col min="7422" max="7422" width="6.453125" style="1" customWidth="1"/>
    <col min="7423" max="7424" width="21.7265625" style="1" customWidth="1"/>
    <col min="7425" max="7425" width="13.54296875" style="1" customWidth="1"/>
    <col min="7426" max="7426" width="12.26953125" style="1" customWidth="1"/>
    <col min="7427" max="7427" width="15.1796875" style="1" customWidth="1"/>
    <col min="7428" max="7439" width="9.7265625" style="1"/>
    <col min="7440" max="7668" width="19" style="1" customWidth="1"/>
    <col min="7669" max="7669" width="4" style="1" customWidth="1"/>
    <col min="7670" max="7671" width="21.7265625" style="1" customWidth="1"/>
    <col min="7672" max="7677" width="9.7265625" style="1"/>
    <col min="7678" max="7678" width="6.453125" style="1" customWidth="1"/>
    <col min="7679" max="7680" width="21.7265625" style="1" customWidth="1"/>
    <col min="7681" max="7681" width="13.54296875" style="1" customWidth="1"/>
    <col min="7682" max="7682" width="12.26953125" style="1" customWidth="1"/>
    <col min="7683" max="7683" width="15.1796875" style="1" customWidth="1"/>
    <col min="7684" max="7695" width="9.7265625" style="1"/>
    <col min="7696" max="7924" width="19" style="1" customWidth="1"/>
    <col min="7925" max="7925" width="4" style="1" customWidth="1"/>
    <col min="7926" max="7927" width="21.7265625" style="1" customWidth="1"/>
    <col min="7928" max="7933" width="9.7265625" style="1"/>
    <col min="7934" max="7934" width="6.453125" style="1" customWidth="1"/>
    <col min="7935" max="7936" width="21.7265625" style="1" customWidth="1"/>
    <col min="7937" max="7937" width="13.54296875" style="1" customWidth="1"/>
    <col min="7938" max="7938" width="12.26953125" style="1" customWidth="1"/>
    <col min="7939" max="7939" width="15.1796875" style="1" customWidth="1"/>
    <col min="7940" max="7951" width="9.7265625" style="1"/>
    <col min="7952" max="8180" width="19" style="1" customWidth="1"/>
    <col min="8181" max="8181" width="4" style="1" customWidth="1"/>
    <col min="8182" max="8183" width="21.7265625" style="1" customWidth="1"/>
    <col min="8184" max="8189" width="9.7265625" style="1"/>
    <col min="8190" max="8190" width="6.453125" style="1" customWidth="1"/>
    <col min="8191" max="8192" width="21.7265625" style="1" customWidth="1"/>
    <col min="8193" max="8193" width="13.54296875" style="1" customWidth="1"/>
    <col min="8194" max="8194" width="12.26953125" style="1" customWidth="1"/>
    <col min="8195" max="8195" width="15.1796875" style="1" customWidth="1"/>
    <col min="8196" max="8207" width="9.7265625" style="1"/>
    <col min="8208" max="8436" width="19" style="1" customWidth="1"/>
    <col min="8437" max="8437" width="4" style="1" customWidth="1"/>
    <col min="8438" max="8439" width="21.7265625" style="1" customWidth="1"/>
    <col min="8440" max="8445" width="9.7265625" style="1"/>
    <col min="8446" max="8446" width="6.453125" style="1" customWidth="1"/>
    <col min="8447" max="8448" width="21.7265625" style="1" customWidth="1"/>
    <col min="8449" max="8449" width="13.54296875" style="1" customWidth="1"/>
    <col min="8450" max="8450" width="12.26953125" style="1" customWidth="1"/>
    <col min="8451" max="8451" width="15.1796875" style="1" customWidth="1"/>
    <col min="8452" max="8463" width="9.7265625" style="1"/>
    <col min="8464" max="8692" width="19" style="1" customWidth="1"/>
    <col min="8693" max="8693" width="4" style="1" customWidth="1"/>
    <col min="8694" max="8695" width="21.7265625" style="1" customWidth="1"/>
    <col min="8696" max="8701" width="9.7265625" style="1"/>
    <col min="8702" max="8702" width="6.453125" style="1" customWidth="1"/>
    <col min="8703" max="8704" width="21.7265625" style="1" customWidth="1"/>
    <col min="8705" max="8705" width="13.54296875" style="1" customWidth="1"/>
    <col min="8706" max="8706" width="12.26953125" style="1" customWidth="1"/>
    <col min="8707" max="8707" width="15.1796875" style="1" customWidth="1"/>
    <col min="8708" max="8719" width="9.7265625" style="1"/>
    <col min="8720" max="8948" width="19" style="1" customWidth="1"/>
    <col min="8949" max="8949" width="4" style="1" customWidth="1"/>
    <col min="8950" max="8951" width="21.7265625" style="1" customWidth="1"/>
    <col min="8952" max="8957" width="9.7265625" style="1"/>
    <col min="8958" max="8958" width="6.453125" style="1" customWidth="1"/>
    <col min="8959" max="8960" width="21.7265625" style="1" customWidth="1"/>
    <col min="8961" max="8961" width="13.54296875" style="1" customWidth="1"/>
    <col min="8962" max="8962" width="12.26953125" style="1" customWidth="1"/>
    <col min="8963" max="8963" width="15.1796875" style="1" customWidth="1"/>
    <col min="8964" max="8975" width="9.7265625" style="1"/>
    <col min="8976" max="9204" width="19" style="1" customWidth="1"/>
    <col min="9205" max="9205" width="4" style="1" customWidth="1"/>
    <col min="9206" max="9207" width="21.7265625" style="1" customWidth="1"/>
    <col min="9208" max="9213" width="9.7265625" style="1"/>
    <col min="9214" max="9214" width="6.453125" style="1" customWidth="1"/>
    <col min="9215" max="9216" width="21.7265625" style="1" customWidth="1"/>
    <col min="9217" max="9217" width="13.54296875" style="1" customWidth="1"/>
    <col min="9218" max="9218" width="12.26953125" style="1" customWidth="1"/>
    <col min="9219" max="9219" width="15.1796875" style="1" customWidth="1"/>
    <col min="9220" max="9231" width="9.7265625" style="1"/>
    <col min="9232" max="9460" width="19" style="1" customWidth="1"/>
    <col min="9461" max="9461" width="4" style="1" customWidth="1"/>
    <col min="9462" max="9463" width="21.7265625" style="1" customWidth="1"/>
    <col min="9464" max="9469" width="9.7265625" style="1"/>
    <col min="9470" max="9470" width="6.453125" style="1" customWidth="1"/>
    <col min="9471" max="9472" width="21.7265625" style="1" customWidth="1"/>
    <col min="9473" max="9473" width="13.54296875" style="1" customWidth="1"/>
    <col min="9474" max="9474" width="12.26953125" style="1" customWidth="1"/>
    <col min="9475" max="9475" width="15.1796875" style="1" customWidth="1"/>
    <col min="9476" max="9487" width="9.7265625" style="1"/>
    <col min="9488" max="9716" width="19" style="1" customWidth="1"/>
    <col min="9717" max="9717" width="4" style="1" customWidth="1"/>
    <col min="9718" max="9719" width="21.7265625" style="1" customWidth="1"/>
    <col min="9720" max="9725" width="9.7265625" style="1"/>
    <col min="9726" max="9726" width="6.453125" style="1" customWidth="1"/>
    <col min="9727" max="9728" width="21.7265625" style="1" customWidth="1"/>
    <col min="9729" max="9729" width="13.54296875" style="1" customWidth="1"/>
    <col min="9730" max="9730" width="12.26953125" style="1" customWidth="1"/>
    <col min="9731" max="9731" width="15.1796875" style="1" customWidth="1"/>
    <col min="9732" max="9743" width="9.7265625" style="1"/>
    <col min="9744" max="9972" width="19" style="1" customWidth="1"/>
    <col min="9973" max="9973" width="4" style="1" customWidth="1"/>
    <col min="9974" max="9975" width="21.7265625" style="1" customWidth="1"/>
    <col min="9976" max="9981" width="9.7265625" style="1"/>
    <col min="9982" max="9982" width="6.453125" style="1" customWidth="1"/>
    <col min="9983" max="9984" width="21.7265625" style="1" customWidth="1"/>
    <col min="9985" max="9985" width="13.54296875" style="1" customWidth="1"/>
    <col min="9986" max="9986" width="12.26953125" style="1" customWidth="1"/>
    <col min="9987" max="9987" width="15.1796875" style="1" customWidth="1"/>
    <col min="9988" max="9999" width="9.7265625" style="1"/>
    <col min="10000" max="10228" width="19" style="1" customWidth="1"/>
    <col min="10229" max="10229" width="4" style="1" customWidth="1"/>
    <col min="10230" max="10231" width="21.7265625" style="1" customWidth="1"/>
    <col min="10232" max="10237" width="9.7265625" style="1"/>
    <col min="10238" max="10238" width="6.453125" style="1" customWidth="1"/>
    <col min="10239" max="10240" width="21.7265625" style="1" customWidth="1"/>
    <col min="10241" max="10241" width="13.54296875" style="1" customWidth="1"/>
    <col min="10242" max="10242" width="12.26953125" style="1" customWidth="1"/>
    <col min="10243" max="10243" width="15.1796875" style="1" customWidth="1"/>
    <col min="10244" max="10255" width="9.7265625" style="1"/>
    <col min="10256" max="10484" width="19" style="1" customWidth="1"/>
    <col min="10485" max="10485" width="4" style="1" customWidth="1"/>
    <col min="10486" max="10487" width="21.7265625" style="1" customWidth="1"/>
    <col min="10488" max="10493" width="9.7265625" style="1"/>
    <col min="10494" max="10494" width="6.453125" style="1" customWidth="1"/>
    <col min="10495" max="10496" width="21.7265625" style="1" customWidth="1"/>
    <col min="10497" max="10497" width="13.54296875" style="1" customWidth="1"/>
    <col min="10498" max="10498" width="12.26953125" style="1" customWidth="1"/>
    <col min="10499" max="10499" width="15.1796875" style="1" customWidth="1"/>
    <col min="10500" max="10511" width="9.7265625" style="1"/>
    <col min="10512" max="10740" width="19" style="1" customWidth="1"/>
    <col min="10741" max="10741" width="4" style="1" customWidth="1"/>
    <col min="10742" max="10743" width="21.7265625" style="1" customWidth="1"/>
    <col min="10744" max="10749" width="9.7265625" style="1"/>
    <col min="10750" max="10750" width="6.453125" style="1" customWidth="1"/>
    <col min="10751" max="10752" width="21.7265625" style="1" customWidth="1"/>
    <col min="10753" max="10753" width="13.54296875" style="1" customWidth="1"/>
    <col min="10754" max="10754" width="12.26953125" style="1" customWidth="1"/>
    <col min="10755" max="10755" width="15.1796875" style="1" customWidth="1"/>
    <col min="10756" max="10767" width="9.7265625" style="1"/>
    <col min="10768" max="10996" width="19" style="1" customWidth="1"/>
    <col min="10997" max="10997" width="4" style="1" customWidth="1"/>
    <col min="10998" max="10999" width="21.7265625" style="1" customWidth="1"/>
    <col min="11000" max="11005" width="9.7265625" style="1"/>
    <col min="11006" max="11006" width="6.453125" style="1" customWidth="1"/>
    <col min="11007" max="11008" width="21.7265625" style="1" customWidth="1"/>
    <col min="11009" max="11009" width="13.54296875" style="1" customWidth="1"/>
    <col min="11010" max="11010" width="12.26953125" style="1" customWidth="1"/>
    <col min="11011" max="11011" width="15.1796875" style="1" customWidth="1"/>
    <col min="11012" max="11023" width="9.7265625" style="1"/>
    <col min="11024" max="11252" width="19" style="1" customWidth="1"/>
    <col min="11253" max="11253" width="4" style="1" customWidth="1"/>
    <col min="11254" max="11255" width="21.7265625" style="1" customWidth="1"/>
    <col min="11256" max="11261" width="9.7265625" style="1"/>
    <col min="11262" max="11262" width="6.453125" style="1" customWidth="1"/>
    <col min="11263" max="11264" width="21.7265625" style="1" customWidth="1"/>
    <col min="11265" max="11265" width="13.54296875" style="1" customWidth="1"/>
    <col min="11266" max="11266" width="12.26953125" style="1" customWidth="1"/>
    <col min="11267" max="11267" width="15.1796875" style="1" customWidth="1"/>
    <col min="11268" max="11279" width="9.7265625" style="1"/>
    <col min="11280" max="11508" width="19" style="1" customWidth="1"/>
    <col min="11509" max="11509" width="4" style="1" customWidth="1"/>
    <col min="11510" max="11511" width="21.7265625" style="1" customWidth="1"/>
    <col min="11512" max="11517" width="9.7265625" style="1"/>
    <col min="11518" max="11518" width="6.453125" style="1" customWidth="1"/>
    <col min="11519" max="11520" width="21.7265625" style="1" customWidth="1"/>
    <col min="11521" max="11521" width="13.54296875" style="1" customWidth="1"/>
    <col min="11522" max="11522" width="12.26953125" style="1" customWidth="1"/>
    <col min="11523" max="11523" width="15.1796875" style="1" customWidth="1"/>
    <col min="11524" max="11535" width="9.7265625" style="1"/>
    <col min="11536" max="11764" width="19" style="1" customWidth="1"/>
    <col min="11765" max="11765" width="4" style="1" customWidth="1"/>
    <col min="11766" max="11767" width="21.7265625" style="1" customWidth="1"/>
    <col min="11768" max="11773" width="9.7265625" style="1"/>
    <col min="11774" max="11774" width="6.453125" style="1" customWidth="1"/>
    <col min="11775" max="11776" width="21.7265625" style="1" customWidth="1"/>
    <col min="11777" max="11777" width="13.54296875" style="1" customWidth="1"/>
    <col min="11778" max="11778" width="12.26953125" style="1" customWidth="1"/>
    <col min="11779" max="11779" width="15.1796875" style="1" customWidth="1"/>
    <col min="11780" max="11791" width="9.7265625" style="1"/>
    <col min="11792" max="12020" width="19" style="1" customWidth="1"/>
    <col min="12021" max="12021" width="4" style="1" customWidth="1"/>
    <col min="12022" max="12023" width="21.7265625" style="1" customWidth="1"/>
    <col min="12024" max="12029" width="9.7265625" style="1"/>
    <col min="12030" max="12030" width="6.453125" style="1" customWidth="1"/>
    <col min="12031" max="12032" width="21.7265625" style="1" customWidth="1"/>
    <col min="12033" max="12033" width="13.54296875" style="1" customWidth="1"/>
    <col min="12034" max="12034" width="12.26953125" style="1" customWidth="1"/>
    <col min="12035" max="12035" width="15.1796875" style="1" customWidth="1"/>
    <col min="12036" max="12047" width="9.7265625" style="1"/>
    <col min="12048" max="12276" width="19" style="1" customWidth="1"/>
    <col min="12277" max="12277" width="4" style="1" customWidth="1"/>
    <col min="12278" max="12279" width="21.7265625" style="1" customWidth="1"/>
    <col min="12280" max="12285" width="9.7265625" style="1"/>
    <col min="12286" max="12286" width="6.453125" style="1" customWidth="1"/>
    <col min="12287" max="12288" width="21.7265625" style="1" customWidth="1"/>
    <col min="12289" max="12289" width="13.54296875" style="1" customWidth="1"/>
    <col min="12290" max="12290" width="12.26953125" style="1" customWidth="1"/>
    <col min="12291" max="12291" width="15.1796875" style="1" customWidth="1"/>
    <col min="12292" max="12303" width="9.7265625" style="1"/>
    <col min="12304" max="12532" width="19" style="1" customWidth="1"/>
    <col min="12533" max="12533" width="4" style="1" customWidth="1"/>
    <col min="12534" max="12535" width="21.7265625" style="1" customWidth="1"/>
    <col min="12536" max="12541" width="9.7265625" style="1"/>
    <col min="12542" max="12542" width="6.453125" style="1" customWidth="1"/>
    <col min="12543" max="12544" width="21.7265625" style="1" customWidth="1"/>
    <col min="12545" max="12545" width="13.54296875" style="1" customWidth="1"/>
    <col min="12546" max="12546" width="12.26953125" style="1" customWidth="1"/>
    <col min="12547" max="12547" width="15.1796875" style="1" customWidth="1"/>
    <col min="12548" max="12559" width="9.7265625" style="1"/>
    <col min="12560" max="12788" width="19" style="1" customWidth="1"/>
    <col min="12789" max="12789" width="4" style="1" customWidth="1"/>
    <col min="12790" max="12791" width="21.7265625" style="1" customWidth="1"/>
    <col min="12792" max="12797" width="9.7265625" style="1"/>
    <col min="12798" max="12798" width="6.453125" style="1" customWidth="1"/>
    <col min="12799" max="12800" width="21.7265625" style="1" customWidth="1"/>
    <col min="12801" max="12801" width="13.54296875" style="1" customWidth="1"/>
    <col min="12802" max="12802" width="12.26953125" style="1" customWidth="1"/>
    <col min="12803" max="12803" width="15.1796875" style="1" customWidth="1"/>
    <col min="12804" max="12815" width="9.7265625" style="1"/>
    <col min="12816" max="13044" width="19" style="1" customWidth="1"/>
    <col min="13045" max="13045" width="4" style="1" customWidth="1"/>
    <col min="13046" max="13047" width="21.7265625" style="1" customWidth="1"/>
    <col min="13048" max="13053" width="9.7265625" style="1"/>
    <col min="13054" max="13054" width="6.453125" style="1" customWidth="1"/>
    <col min="13055" max="13056" width="21.7265625" style="1" customWidth="1"/>
    <col min="13057" max="13057" width="13.54296875" style="1" customWidth="1"/>
    <col min="13058" max="13058" width="12.26953125" style="1" customWidth="1"/>
    <col min="13059" max="13059" width="15.1796875" style="1" customWidth="1"/>
    <col min="13060" max="13071" width="9.7265625" style="1"/>
    <col min="13072" max="13300" width="19" style="1" customWidth="1"/>
    <col min="13301" max="13301" width="4" style="1" customWidth="1"/>
    <col min="13302" max="13303" width="21.7265625" style="1" customWidth="1"/>
    <col min="13304" max="13309" width="9.7265625" style="1"/>
    <col min="13310" max="13310" width="6.453125" style="1" customWidth="1"/>
    <col min="13311" max="13312" width="21.7265625" style="1" customWidth="1"/>
    <col min="13313" max="13313" width="13.54296875" style="1" customWidth="1"/>
    <col min="13314" max="13314" width="12.26953125" style="1" customWidth="1"/>
    <col min="13315" max="13315" width="15.1796875" style="1" customWidth="1"/>
    <col min="13316" max="13327" width="9.7265625" style="1"/>
    <col min="13328" max="13556" width="19" style="1" customWidth="1"/>
    <col min="13557" max="13557" width="4" style="1" customWidth="1"/>
    <col min="13558" max="13559" width="21.7265625" style="1" customWidth="1"/>
    <col min="13560" max="13565" width="9.7265625" style="1"/>
    <col min="13566" max="13566" width="6.453125" style="1" customWidth="1"/>
    <col min="13567" max="13568" width="21.7265625" style="1" customWidth="1"/>
    <col min="13569" max="13569" width="13.54296875" style="1" customWidth="1"/>
    <col min="13570" max="13570" width="12.26953125" style="1" customWidth="1"/>
    <col min="13571" max="13571" width="15.1796875" style="1" customWidth="1"/>
    <col min="13572" max="13583" width="9.7265625" style="1"/>
    <col min="13584" max="13812" width="19" style="1" customWidth="1"/>
    <col min="13813" max="13813" width="4" style="1" customWidth="1"/>
    <col min="13814" max="13815" width="21.7265625" style="1" customWidth="1"/>
    <col min="13816" max="13821" width="9.7265625" style="1"/>
    <col min="13822" max="13822" width="6.453125" style="1" customWidth="1"/>
    <col min="13823" max="13824" width="21.7265625" style="1" customWidth="1"/>
    <col min="13825" max="13825" width="13.54296875" style="1" customWidth="1"/>
    <col min="13826" max="13826" width="12.26953125" style="1" customWidth="1"/>
    <col min="13827" max="13827" width="15.1796875" style="1" customWidth="1"/>
    <col min="13828" max="13839" width="9.7265625" style="1"/>
    <col min="13840" max="14068" width="19" style="1" customWidth="1"/>
    <col min="14069" max="14069" width="4" style="1" customWidth="1"/>
    <col min="14070" max="14071" width="21.7265625" style="1" customWidth="1"/>
    <col min="14072" max="14077" width="9.7265625" style="1"/>
    <col min="14078" max="14078" width="6.453125" style="1" customWidth="1"/>
    <col min="14079" max="14080" width="21.7265625" style="1" customWidth="1"/>
    <col min="14081" max="14081" width="13.54296875" style="1" customWidth="1"/>
    <col min="14082" max="14082" width="12.26953125" style="1" customWidth="1"/>
    <col min="14083" max="14083" width="15.1796875" style="1" customWidth="1"/>
    <col min="14084" max="14095" width="9.7265625" style="1"/>
    <col min="14096" max="14324" width="19" style="1" customWidth="1"/>
    <col min="14325" max="14325" width="4" style="1" customWidth="1"/>
    <col min="14326" max="14327" width="21.7265625" style="1" customWidth="1"/>
    <col min="14328" max="14333" width="9.7265625" style="1"/>
    <col min="14334" max="14334" width="6.453125" style="1" customWidth="1"/>
    <col min="14335" max="14336" width="21.7265625" style="1" customWidth="1"/>
    <col min="14337" max="14337" width="13.54296875" style="1" customWidth="1"/>
    <col min="14338" max="14338" width="12.26953125" style="1" customWidth="1"/>
    <col min="14339" max="14339" width="15.1796875" style="1" customWidth="1"/>
    <col min="14340" max="14351" width="9.7265625" style="1"/>
    <col min="14352" max="14580" width="19" style="1" customWidth="1"/>
    <col min="14581" max="14581" width="4" style="1" customWidth="1"/>
    <col min="14582" max="14583" width="21.7265625" style="1" customWidth="1"/>
    <col min="14584" max="14589" width="9.7265625" style="1"/>
    <col min="14590" max="14590" width="6.453125" style="1" customWidth="1"/>
    <col min="14591" max="14592" width="21.7265625" style="1" customWidth="1"/>
    <col min="14593" max="14593" width="13.54296875" style="1" customWidth="1"/>
    <col min="14594" max="14594" width="12.26953125" style="1" customWidth="1"/>
    <col min="14595" max="14595" width="15.1796875" style="1" customWidth="1"/>
    <col min="14596" max="14607" width="9.7265625" style="1"/>
    <col min="14608" max="14836" width="19" style="1" customWidth="1"/>
    <col min="14837" max="14837" width="4" style="1" customWidth="1"/>
    <col min="14838" max="14839" width="21.7265625" style="1" customWidth="1"/>
    <col min="14840" max="14845" width="9.7265625" style="1"/>
    <col min="14846" max="14846" width="6.453125" style="1" customWidth="1"/>
    <col min="14847" max="14848" width="21.7265625" style="1" customWidth="1"/>
    <col min="14849" max="14849" width="13.54296875" style="1" customWidth="1"/>
    <col min="14850" max="14850" width="12.26953125" style="1" customWidth="1"/>
    <col min="14851" max="14851" width="15.1796875" style="1" customWidth="1"/>
    <col min="14852" max="14863" width="9.7265625" style="1"/>
    <col min="14864" max="15092" width="19" style="1" customWidth="1"/>
    <col min="15093" max="15093" width="4" style="1" customWidth="1"/>
    <col min="15094" max="15095" width="21.7265625" style="1" customWidth="1"/>
    <col min="15096" max="15101" width="9.7265625" style="1"/>
    <col min="15102" max="15102" width="6.453125" style="1" customWidth="1"/>
    <col min="15103" max="15104" width="21.7265625" style="1" customWidth="1"/>
    <col min="15105" max="15105" width="13.54296875" style="1" customWidth="1"/>
    <col min="15106" max="15106" width="12.26953125" style="1" customWidth="1"/>
    <col min="15107" max="15107" width="15.1796875" style="1" customWidth="1"/>
    <col min="15108" max="15119" width="9.7265625" style="1"/>
    <col min="15120" max="15348" width="19" style="1" customWidth="1"/>
    <col min="15349" max="15349" width="4" style="1" customWidth="1"/>
    <col min="15350" max="15351" width="21.7265625" style="1" customWidth="1"/>
    <col min="15352" max="15357" width="9.7265625" style="1"/>
    <col min="15358" max="15358" width="6.453125" style="1" customWidth="1"/>
    <col min="15359" max="15360" width="21.7265625" style="1" customWidth="1"/>
    <col min="15361" max="15361" width="13.54296875" style="1" customWidth="1"/>
    <col min="15362" max="15362" width="12.26953125" style="1" customWidth="1"/>
    <col min="15363" max="15363" width="15.1796875" style="1" customWidth="1"/>
    <col min="15364" max="15375" width="9.7265625" style="1"/>
    <col min="15376" max="15604" width="19" style="1" customWidth="1"/>
    <col min="15605" max="15605" width="4" style="1" customWidth="1"/>
    <col min="15606" max="15607" width="21.7265625" style="1" customWidth="1"/>
    <col min="15608" max="15613" width="9.7265625" style="1"/>
    <col min="15614" max="15614" width="6.453125" style="1" customWidth="1"/>
    <col min="15615" max="15616" width="21.7265625" style="1" customWidth="1"/>
    <col min="15617" max="15617" width="13.54296875" style="1" customWidth="1"/>
    <col min="15618" max="15618" width="12.26953125" style="1" customWidth="1"/>
    <col min="15619" max="15619" width="15.1796875" style="1" customWidth="1"/>
    <col min="15620" max="15631" width="9.7265625" style="1"/>
    <col min="15632" max="15860" width="19" style="1" customWidth="1"/>
    <col min="15861" max="15861" width="4" style="1" customWidth="1"/>
    <col min="15862" max="15863" width="21.7265625" style="1" customWidth="1"/>
    <col min="15864" max="15869" width="9.7265625" style="1"/>
    <col min="15870" max="15870" width="6.453125" style="1" customWidth="1"/>
    <col min="15871" max="15872" width="21.7265625" style="1" customWidth="1"/>
    <col min="15873" max="15873" width="13.54296875" style="1" customWidth="1"/>
    <col min="15874" max="15874" width="12.26953125" style="1" customWidth="1"/>
    <col min="15875" max="15875" width="15.1796875" style="1" customWidth="1"/>
    <col min="15876" max="15887" width="9.7265625" style="1"/>
    <col min="15888" max="16116" width="19" style="1" customWidth="1"/>
    <col min="16117" max="16117" width="4" style="1" customWidth="1"/>
    <col min="16118" max="16119" width="21.7265625" style="1" customWidth="1"/>
    <col min="16120" max="16125" width="9.7265625" style="1"/>
    <col min="16126" max="16126" width="6.453125" style="1" customWidth="1"/>
    <col min="16127" max="16128" width="21.7265625" style="1" customWidth="1"/>
    <col min="16129" max="16129" width="13.54296875" style="1" customWidth="1"/>
    <col min="16130" max="16130" width="12.26953125" style="1" customWidth="1"/>
    <col min="16131" max="16131" width="15.1796875" style="1" customWidth="1"/>
    <col min="16132" max="16143" width="9.7265625" style="1"/>
    <col min="16144" max="16372" width="19" style="1" customWidth="1"/>
    <col min="16373" max="16373" width="4" style="1" customWidth="1"/>
    <col min="16374" max="16375" width="21.7265625" style="1" customWidth="1"/>
    <col min="16376" max="16384" width="9.7265625" style="1"/>
  </cols>
  <sheetData>
    <row r="2" spans="1:19" x14ac:dyDescent="0.35">
      <c r="B2" s="694" t="s">
        <v>49</v>
      </c>
      <c r="C2" s="694"/>
      <c r="D2" s="694"/>
      <c r="E2" s="694"/>
      <c r="F2" s="694"/>
      <c r="G2" s="694"/>
      <c r="H2" s="694"/>
      <c r="I2" s="694"/>
      <c r="J2" s="694"/>
      <c r="K2" s="694"/>
      <c r="L2" s="694"/>
      <c r="M2" s="694"/>
      <c r="N2" s="694"/>
      <c r="O2" s="694"/>
      <c r="P2" s="694"/>
      <c r="Q2" s="694"/>
      <c r="R2" s="694"/>
      <c r="S2" s="694"/>
    </row>
    <row r="3" spans="1:19" x14ac:dyDescent="0.35">
      <c r="B3" s="694" t="s">
        <v>212</v>
      </c>
      <c r="C3" s="694"/>
      <c r="D3" s="694"/>
      <c r="E3" s="694"/>
      <c r="F3" s="694"/>
      <c r="G3" s="694"/>
      <c r="H3" s="694"/>
      <c r="I3" s="694"/>
      <c r="J3" s="694"/>
      <c r="K3" s="694"/>
      <c r="L3" s="694"/>
      <c r="M3" s="694"/>
      <c r="N3" s="694"/>
      <c r="O3" s="694"/>
      <c r="P3" s="694"/>
      <c r="Q3" s="694"/>
      <c r="R3" s="694"/>
      <c r="S3" s="694"/>
    </row>
    <row r="4" spans="1:19" x14ac:dyDescent="0.35">
      <c r="B4" s="694" t="s">
        <v>256</v>
      </c>
      <c r="C4" s="694"/>
      <c r="D4" s="694"/>
      <c r="E4" s="694"/>
      <c r="F4" s="694"/>
      <c r="G4" s="694"/>
      <c r="H4" s="694"/>
      <c r="I4" s="694"/>
      <c r="J4" s="694"/>
      <c r="K4" s="694"/>
      <c r="L4" s="694"/>
      <c r="M4" s="694"/>
      <c r="N4" s="694"/>
      <c r="O4" s="694"/>
      <c r="P4" s="694"/>
      <c r="Q4" s="694"/>
      <c r="R4" s="694"/>
      <c r="S4" s="694"/>
    </row>
    <row r="5" spans="1:19" ht="18" customHeight="1" thickBot="1" x14ac:dyDescent="0.4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18" customHeight="1" x14ac:dyDescent="0.35">
      <c r="A6" s="700" t="s">
        <v>0</v>
      </c>
      <c r="B6" s="700"/>
      <c r="C6" s="732" t="s">
        <v>53</v>
      </c>
      <c r="D6" s="732" t="s">
        <v>51</v>
      </c>
      <c r="E6" s="700" t="s">
        <v>25</v>
      </c>
      <c r="F6" s="700"/>
      <c r="G6" s="700"/>
      <c r="H6" s="700"/>
      <c r="I6" s="700"/>
      <c r="J6" s="735" t="s">
        <v>26</v>
      </c>
      <c r="K6" s="736"/>
      <c r="L6" s="736"/>
      <c r="M6" s="736"/>
      <c r="N6" s="736"/>
      <c r="O6" s="736"/>
      <c r="P6" s="736"/>
      <c r="Q6" s="736"/>
      <c r="R6" s="736"/>
      <c r="S6" s="737"/>
    </row>
    <row r="7" spans="1:19" ht="18" customHeight="1" x14ac:dyDescent="0.35">
      <c r="A7" s="700"/>
      <c r="B7" s="700"/>
      <c r="C7" s="733"/>
      <c r="D7" s="733"/>
      <c r="E7" s="738" t="s">
        <v>5</v>
      </c>
      <c r="F7" s="739"/>
      <c r="G7" s="742" t="s">
        <v>3</v>
      </c>
      <c r="H7" s="742" t="s">
        <v>28</v>
      </c>
      <c r="I7" s="742" t="s">
        <v>4</v>
      </c>
      <c r="J7" s="700" t="s">
        <v>27</v>
      </c>
      <c r="K7" s="700"/>
      <c r="L7" s="700"/>
      <c r="M7" s="700"/>
      <c r="N7" s="738" t="s">
        <v>3</v>
      </c>
      <c r="O7" s="743"/>
      <c r="P7" s="738" t="s">
        <v>28</v>
      </c>
      <c r="Q7" s="743"/>
      <c r="R7" s="738" t="s">
        <v>4</v>
      </c>
      <c r="S7" s="743"/>
    </row>
    <row r="8" spans="1:19" ht="18" customHeight="1" x14ac:dyDescent="0.35">
      <c r="A8" s="700"/>
      <c r="B8" s="700"/>
      <c r="C8" s="733"/>
      <c r="D8" s="733"/>
      <c r="E8" s="740"/>
      <c r="F8" s="741"/>
      <c r="G8" s="733"/>
      <c r="H8" s="733"/>
      <c r="I8" s="733"/>
      <c r="J8" s="697" t="s">
        <v>29</v>
      </c>
      <c r="K8" s="698"/>
      <c r="L8" s="697" t="s">
        <v>30</v>
      </c>
      <c r="M8" s="698"/>
      <c r="N8" s="740"/>
      <c r="O8" s="744"/>
      <c r="P8" s="740"/>
      <c r="Q8" s="744"/>
      <c r="R8" s="740"/>
      <c r="S8" s="744"/>
    </row>
    <row r="9" spans="1:19" ht="18" customHeight="1" x14ac:dyDescent="0.35">
      <c r="A9" s="700"/>
      <c r="B9" s="700"/>
      <c r="C9" s="734"/>
      <c r="D9" s="734"/>
      <c r="E9" s="37" t="s">
        <v>29</v>
      </c>
      <c r="F9" s="37" t="s">
        <v>30</v>
      </c>
      <c r="G9" s="734"/>
      <c r="H9" s="734"/>
      <c r="I9" s="734"/>
      <c r="J9" s="15" t="s">
        <v>31</v>
      </c>
      <c r="K9" s="37" t="s">
        <v>1</v>
      </c>
      <c r="L9" s="15" t="s">
        <v>31</v>
      </c>
      <c r="M9" s="37" t="s">
        <v>1</v>
      </c>
      <c r="N9" s="15" t="s">
        <v>31</v>
      </c>
      <c r="O9" s="37" t="s">
        <v>1</v>
      </c>
      <c r="P9" s="15" t="s">
        <v>31</v>
      </c>
      <c r="Q9" s="37" t="s">
        <v>1</v>
      </c>
      <c r="R9" s="15" t="s">
        <v>31</v>
      </c>
      <c r="S9" s="37" t="s">
        <v>1</v>
      </c>
    </row>
    <row r="10" spans="1:19" ht="18" customHeight="1" x14ac:dyDescent="0.35">
      <c r="A10" s="5"/>
      <c r="B10" s="44">
        <v>1</v>
      </c>
      <c r="C10" s="44">
        <v>2</v>
      </c>
      <c r="D10" s="44">
        <v>3</v>
      </c>
      <c r="E10" s="44">
        <v>4</v>
      </c>
      <c r="F10" s="44">
        <v>5</v>
      </c>
      <c r="G10" s="44">
        <v>6</v>
      </c>
      <c r="H10" s="44">
        <v>7</v>
      </c>
      <c r="I10" s="44">
        <v>8</v>
      </c>
      <c r="J10" s="44">
        <v>9</v>
      </c>
      <c r="K10" s="44">
        <v>10</v>
      </c>
      <c r="L10" s="44">
        <v>11</v>
      </c>
      <c r="M10" s="44">
        <v>12</v>
      </c>
      <c r="N10" s="44">
        <v>13</v>
      </c>
      <c r="O10" s="44">
        <v>14</v>
      </c>
      <c r="P10" s="44">
        <v>15</v>
      </c>
      <c r="Q10" s="44">
        <v>16</v>
      </c>
      <c r="R10" s="44">
        <v>17</v>
      </c>
      <c r="S10" s="44">
        <v>18</v>
      </c>
    </row>
    <row r="11" spans="1:19" ht="18" customHeight="1" x14ac:dyDescent="0.35">
      <c r="A11" s="3">
        <v>1</v>
      </c>
      <c r="B11" s="42">
        <v>1</v>
      </c>
      <c r="C11" s="33" t="s">
        <v>202</v>
      </c>
      <c r="D11" s="33" t="s">
        <v>138</v>
      </c>
      <c r="E11" s="354">
        <f>E123</f>
        <v>20</v>
      </c>
      <c r="F11" s="354">
        <f t="shared" ref="F11:S11" si="0">F123</f>
        <v>4</v>
      </c>
      <c r="G11" s="354">
        <f t="shared" si="0"/>
        <v>1</v>
      </c>
      <c r="H11" s="354">
        <f t="shared" si="0"/>
        <v>6</v>
      </c>
      <c r="I11" s="354">
        <f t="shared" si="0"/>
        <v>31</v>
      </c>
      <c r="J11" s="354">
        <f t="shared" si="0"/>
        <v>20</v>
      </c>
      <c r="K11" s="354">
        <f t="shared" si="0"/>
        <v>100</v>
      </c>
      <c r="L11" s="354">
        <f t="shared" si="0"/>
        <v>4</v>
      </c>
      <c r="M11" s="354">
        <f t="shared" si="0"/>
        <v>100</v>
      </c>
      <c r="N11" s="354">
        <f t="shared" si="0"/>
        <v>1</v>
      </c>
      <c r="O11" s="354">
        <f t="shared" si="0"/>
        <v>100</v>
      </c>
      <c r="P11" s="354">
        <f t="shared" si="0"/>
        <v>0</v>
      </c>
      <c r="Q11" s="354">
        <f t="shared" si="0"/>
        <v>0</v>
      </c>
      <c r="R11" s="354">
        <f t="shared" si="0"/>
        <v>24</v>
      </c>
      <c r="S11" s="354">
        <f t="shared" si="0"/>
        <v>77.41935483870968</v>
      </c>
    </row>
    <row r="12" spans="1:19" ht="18" customHeight="1" x14ac:dyDescent="0.35">
      <c r="A12" s="3"/>
      <c r="B12" s="42">
        <v>2</v>
      </c>
      <c r="C12" s="35" t="s">
        <v>59</v>
      </c>
      <c r="D12" s="97" t="s">
        <v>203</v>
      </c>
      <c r="E12" s="355">
        <f>E40</f>
        <v>25</v>
      </c>
      <c r="F12" s="355">
        <f t="shared" ref="F12:S12" si="1">F40</f>
        <v>6</v>
      </c>
      <c r="G12" s="355">
        <f t="shared" si="1"/>
        <v>1</v>
      </c>
      <c r="H12" s="355">
        <f t="shared" si="1"/>
        <v>1</v>
      </c>
      <c r="I12" s="355">
        <f t="shared" si="1"/>
        <v>33</v>
      </c>
      <c r="J12" s="355">
        <f t="shared" si="1"/>
        <v>25</v>
      </c>
      <c r="K12" s="355">
        <f t="shared" si="1"/>
        <v>100</v>
      </c>
      <c r="L12" s="355">
        <f t="shared" si="1"/>
        <v>6</v>
      </c>
      <c r="M12" s="355">
        <f t="shared" si="1"/>
        <v>100</v>
      </c>
      <c r="N12" s="355">
        <f t="shared" si="1"/>
        <v>1</v>
      </c>
      <c r="O12" s="355">
        <f t="shared" si="1"/>
        <v>100</v>
      </c>
      <c r="P12" s="355">
        <f t="shared" si="1"/>
        <v>1</v>
      </c>
      <c r="Q12" s="355">
        <f t="shared" si="1"/>
        <v>100</v>
      </c>
      <c r="R12" s="355">
        <f t="shared" si="1"/>
        <v>32</v>
      </c>
      <c r="S12" s="355">
        <f t="shared" si="1"/>
        <v>96.969696969696969</v>
      </c>
    </row>
    <row r="13" spans="1:19" ht="18" customHeight="1" x14ac:dyDescent="0.35">
      <c r="A13" s="3"/>
      <c r="B13" s="42">
        <v>3</v>
      </c>
      <c r="C13" s="35" t="s">
        <v>127</v>
      </c>
      <c r="D13" s="35" t="s">
        <v>128</v>
      </c>
      <c r="E13" s="355">
        <f>E109</f>
        <v>11</v>
      </c>
      <c r="F13" s="355">
        <f t="shared" ref="F13:S13" si="2">F109</f>
        <v>4</v>
      </c>
      <c r="G13" s="355">
        <f t="shared" si="2"/>
        <v>1</v>
      </c>
      <c r="H13" s="355">
        <f t="shared" si="2"/>
        <v>0</v>
      </c>
      <c r="I13" s="355">
        <f t="shared" si="2"/>
        <v>16</v>
      </c>
      <c r="J13" s="355">
        <f t="shared" si="2"/>
        <v>11</v>
      </c>
      <c r="K13" s="355">
        <f t="shared" si="2"/>
        <v>100</v>
      </c>
      <c r="L13" s="355">
        <f t="shared" si="2"/>
        <v>4</v>
      </c>
      <c r="M13" s="355">
        <f t="shared" si="2"/>
        <v>100</v>
      </c>
      <c r="N13" s="355">
        <f t="shared" si="2"/>
        <v>1</v>
      </c>
      <c r="O13" s="355">
        <f t="shared" si="2"/>
        <v>100</v>
      </c>
      <c r="P13" s="355">
        <f t="shared" si="2"/>
        <v>0</v>
      </c>
      <c r="Q13" s="355" t="e">
        <f t="shared" si="2"/>
        <v>#DIV/0!</v>
      </c>
      <c r="R13" s="355">
        <f t="shared" si="2"/>
        <v>16</v>
      </c>
      <c r="S13" s="355">
        <f t="shared" si="2"/>
        <v>100</v>
      </c>
    </row>
    <row r="14" spans="1:19" ht="18" customHeight="1" x14ac:dyDescent="0.35">
      <c r="A14" s="3"/>
      <c r="B14" s="42">
        <v>4</v>
      </c>
      <c r="C14" s="35" t="s">
        <v>204</v>
      </c>
      <c r="D14" s="35" t="s">
        <v>193</v>
      </c>
      <c r="E14" s="355">
        <f>E88</f>
        <v>14</v>
      </c>
      <c r="F14" s="355">
        <f t="shared" ref="F14:S14" si="3">F88</f>
        <v>3</v>
      </c>
      <c r="G14" s="355">
        <f t="shared" si="3"/>
        <v>1</v>
      </c>
      <c r="H14" s="355">
        <f t="shared" si="3"/>
        <v>0</v>
      </c>
      <c r="I14" s="355">
        <f t="shared" si="3"/>
        <v>18</v>
      </c>
      <c r="J14" s="355">
        <f t="shared" si="3"/>
        <v>14</v>
      </c>
      <c r="K14" s="355">
        <f t="shared" si="3"/>
        <v>100</v>
      </c>
      <c r="L14" s="355">
        <f t="shared" si="3"/>
        <v>3</v>
      </c>
      <c r="M14" s="355">
        <f t="shared" si="3"/>
        <v>100</v>
      </c>
      <c r="N14" s="355">
        <f t="shared" si="3"/>
        <v>1</v>
      </c>
      <c r="O14" s="355">
        <f t="shared" si="3"/>
        <v>100</v>
      </c>
      <c r="P14" s="355">
        <f t="shared" si="3"/>
        <v>0</v>
      </c>
      <c r="Q14" s="355" t="e">
        <f t="shared" si="3"/>
        <v>#DIV/0!</v>
      </c>
      <c r="R14" s="355">
        <f t="shared" si="3"/>
        <v>18</v>
      </c>
      <c r="S14" s="355">
        <f t="shared" si="3"/>
        <v>100</v>
      </c>
    </row>
    <row r="15" spans="1:19" ht="18" customHeight="1" x14ac:dyDescent="0.35">
      <c r="A15" s="3"/>
      <c r="B15" s="42">
        <v>5</v>
      </c>
      <c r="C15" s="35" t="s">
        <v>69</v>
      </c>
      <c r="D15" s="35" t="s">
        <v>194</v>
      </c>
      <c r="E15" s="355">
        <f>E48</f>
        <v>10</v>
      </c>
      <c r="F15" s="355">
        <f t="shared" ref="F15:S15" si="4">F48</f>
        <v>2</v>
      </c>
      <c r="G15" s="355">
        <f t="shared" si="4"/>
        <v>1</v>
      </c>
      <c r="H15" s="355">
        <f t="shared" si="4"/>
        <v>0</v>
      </c>
      <c r="I15" s="355">
        <f t="shared" si="4"/>
        <v>13</v>
      </c>
      <c r="J15" s="355">
        <f t="shared" si="4"/>
        <v>10</v>
      </c>
      <c r="K15" s="355">
        <f t="shared" si="4"/>
        <v>100</v>
      </c>
      <c r="L15" s="355">
        <f t="shared" si="4"/>
        <v>2</v>
      </c>
      <c r="M15" s="355">
        <f t="shared" si="4"/>
        <v>100</v>
      </c>
      <c r="N15" s="355">
        <f t="shared" si="4"/>
        <v>1</v>
      </c>
      <c r="O15" s="355">
        <f t="shared" si="4"/>
        <v>100</v>
      </c>
      <c r="P15" s="355">
        <f t="shared" si="4"/>
        <v>0</v>
      </c>
      <c r="Q15" s="355" t="e">
        <f t="shared" si="4"/>
        <v>#DIV/0!</v>
      </c>
      <c r="R15" s="355">
        <f t="shared" si="4"/>
        <v>13</v>
      </c>
      <c r="S15" s="355">
        <f t="shared" si="4"/>
        <v>100</v>
      </c>
    </row>
    <row r="16" spans="1:19" ht="18" customHeight="1" x14ac:dyDescent="0.35">
      <c r="A16" s="3"/>
      <c r="B16" s="42">
        <v>6</v>
      </c>
      <c r="C16" s="35" t="s">
        <v>195</v>
      </c>
      <c r="D16" s="35" t="s">
        <v>205</v>
      </c>
      <c r="E16" s="355">
        <f>E99</f>
        <v>10</v>
      </c>
      <c r="F16" s="355">
        <f t="shared" ref="F16:S16" si="5">F99</f>
        <v>5</v>
      </c>
      <c r="G16" s="355">
        <f t="shared" si="5"/>
        <v>1</v>
      </c>
      <c r="H16" s="355">
        <f t="shared" si="5"/>
        <v>0</v>
      </c>
      <c r="I16" s="355">
        <f t="shared" si="5"/>
        <v>15</v>
      </c>
      <c r="J16" s="355">
        <f t="shared" si="5"/>
        <v>0</v>
      </c>
      <c r="K16" s="355">
        <f t="shared" si="5"/>
        <v>0</v>
      </c>
      <c r="L16" s="355">
        <f t="shared" si="5"/>
        <v>0</v>
      </c>
      <c r="M16" s="355">
        <f t="shared" si="5"/>
        <v>0</v>
      </c>
      <c r="N16" s="355">
        <f t="shared" si="5"/>
        <v>1</v>
      </c>
      <c r="O16" s="355">
        <f t="shared" si="5"/>
        <v>100</v>
      </c>
      <c r="P16" s="355">
        <f t="shared" si="5"/>
        <v>0</v>
      </c>
      <c r="Q16" s="355" t="e">
        <f t="shared" si="5"/>
        <v>#DIV/0!</v>
      </c>
      <c r="R16" s="355">
        <f t="shared" si="5"/>
        <v>1</v>
      </c>
      <c r="S16" s="355">
        <f t="shared" si="5"/>
        <v>6.666666666666667</v>
      </c>
    </row>
    <row r="17" spans="1:19" ht="18" customHeight="1" x14ac:dyDescent="0.35">
      <c r="A17" s="3"/>
      <c r="B17" s="42">
        <v>7</v>
      </c>
      <c r="C17" s="35" t="s">
        <v>196</v>
      </c>
      <c r="D17" s="35" t="s">
        <v>197</v>
      </c>
      <c r="E17" s="355">
        <f>E75</f>
        <v>18</v>
      </c>
      <c r="F17" s="355">
        <f t="shared" ref="F17:S17" si="6">F75</f>
        <v>4</v>
      </c>
      <c r="G17" s="355">
        <f t="shared" si="6"/>
        <v>1</v>
      </c>
      <c r="H17" s="355">
        <f t="shared" si="6"/>
        <v>1</v>
      </c>
      <c r="I17" s="355">
        <f t="shared" si="6"/>
        <v>24</v>
      </c>
      <c r="J17" s="355">
        <f t="shared" si="6"/>
        <v>14</v>
      </c>
      <c r="K17" s="355">
        <f t="shared" si="6"/>
        <v>77.777777777777786</v>
      </c>
      <c r="L17" s="355">
        <f t="shared" si="6"/>
        <v>4</v>
      </c>
      <c r="M17" s="355">
        <f t="shared" si="6"/>
        <v>100</v>
      </c>
      <c r="N17" s="355">
        <f t="shared" si="6"/>
        <v>1</v>
      </c>
      <c r="O17" s="355">
        <f t="shared" si="6"/>
        <v>100</v>
      </c>
      <c r="P17" s="355">
        <f t="shared" si="6"/>
        <v>1</v>
      </c>
      <c r="Q17" s="355">
        <f t="shared" si="6"/>
        <v>100</v>
      </c>
      <c r="R17" s="355">
        <f t="shared" si="6"/>
        <v>24</v>
      </c>
      <c r="S17" s="355">
        <f t="shared" si="6"/>
        <v>100</v>
      </c>
    </row>
    <row r="18" spans="1:19" ht="18" customHeight="1" x14ac:dyDescent="0.35">
      <c r="A18" s="3"/>
      <c r="B18" s="42">
        <v>8</v>
      </c>
      <c r="C18" s="35"/>
      <c r="D18" s="35" t="s">
        <v>198</v>
      </c>
      <c r="E18" s="355">
        <f>E55</f>
        <v>10</v>
      </c>
      <c r="F18" s="355">
        <f t="shared" ref="F18:S18" si="7">F55</f>
        <v>4</v>
      </c>
      <c r="G18" s="355">
        <f t="shared" si="7"/>
        <v>1</v>
      </c>
      <c r="H18" s="355">
        <f t="shared" si="7"/>
        <v>0</v>
      </c>
      <c r="I18" s="355">
        <f t="shared" si="7"/>
        <v>15</v>
      </c>
      <c r="J18" s="355">
        <f t="shared" si="7"/>
        <v>10</v>
      </c>
      <c r="K18" s="355">
        <f t="shared" si="7"/>
        <v>100</v>
      </c>
      <c r="L18" s="355">
        <f t="shared" si="7"/>
        <v>4</v>
      </c>
      <c r="M18" s="355">
        <f t="shared" si="7"/>
        <v>100</v>
      </c>
      <c r="N18" s="355">
        <f t="shared" si="7"/>
        <v>1</v>
      </c>
      <c r="O18" s="355">
        <f t="shared" si="7"/>
        <v>100</v>
      </c>
      <c r="P18" s="355">
        <f t="shared" si="7"/>
        <v>0</v>
      </c>
      <c r="Q18" s="355" t="e">
        <f t="shared" si="7"/>
        <v>#DIV/0!</v>
      </c>
      <c r="R18" s="355">
        <f t="shared" si="7"/>
        <v>15</v>
      </c>
      <c r="S18" s="355">
        <f t="shared" si="7"/>
        <v>100</v>
      </c>
    </row>
    <row r="19" spans="1:19" ht="18" customHeight="1" x14ac:dyDescent="0.35">
      <c r="A19" s="3"/>
      <c r="B19" s="42">
        <v>9</v>
      </c>
      <c r="C19" s="35" t="s">
        <v>199</v>
      </c>
      <c r="D19" s="35" t="s">
        <v>206</v>
      </c>
      <c r="E19" s="355">
        <f>E63</f>
        <v>12</v>
      </c>
      <c r="F19" s="355">
        <f t="shared" ref="F19:S19" si="8">F63</f>
        <v>3</v>
      </c>
      <c r="G19" s="355">
        <f t="shared" si="8"/>
        <v>1</v>
      </c>
      <c r="H19" s="355">
        <f t="shared" si="8"/>
        <v>0</v>
      </c>
      <c r="I19" s="355">
        <f t="shared" si="8"/>
        <v>16</v>
      </c>
      <c r="J19" s="355">
        <f t="shared" si="8"/>
        <v>12</v>
      </c>
      <c r="K19" s="355">
        <f t="shared" si="8"/>
        <v>100</v>
      </c>
      <c r="L19" s="355">
        <f t="shared" si="8"/>
        <v>3</v>
      </c>
      <c r="M19" s="355">
        <f t="shared" si="8"/>
        <v>100</v>
      </c>
      <c r="N19" s="355">
        <f t="shared" si="8"/>
        <v>1</v>
      </c>
      <c r="O19" s="355">
        <f t="shared" si="8"/>
        <v>33.333333333333329</v>
      </c>
      <c r="P19" s="355">
        <f t="shared" si="8"/>
        <v>0</v>
      </c>
      <c r="Q19" s="355" t="e">
        <f t="shared" si="8"/>
        <v>#DIV/0!</v>
      </c>
      <c r="R19" s="355">
        <f t="shared" si="8"/>
        <v>16</v>
      </c>
      <c r="S19" s="355">
        <f t="shared" si="8"/>
        <v>100</v>
      </c>
    </row>
    <row r="20" spans="1:19" ht="18" customHeight="1" x14ac:dyDescent="0.35">
      <c r="A20" s="3"/>
      <c r="B20" s="42">
        <v>10</v>
      </c>
      <c r="C20" s="35" t="s">
        <v>179</v>
      </c>
      <c r="D20" s="35" t="s">
        <v>168</v>
      </c>
      <c r="E20" s="355">
        <f>E146</f>
        <v>13</v>
      </c>
      <c r="F20" s="355">
        <f t="shared" ref="F20:S20" si="9">F146</f>
        <v>3</v>
      </c>
      <c r="G20" s="355">
        <f t="shared" si="9"/>
        <v>1</v>
      </c>
      <c r="H20" s="355">
        <f t="shared" si="9"/>
        <v>7</v>
      </c>
      <c r="I20" s="355">
        <f t="shared" si="9"/>
        <v>24</v>
      </c>
      <c r="J20" s="355">
        <f t="shared" si="9"/>
        <v>13</v>
      </c>
      <c r="K20" s="355">
        <f t="shared" si="9"/>
        <v>100</v>
      </c>
      <c r="L20" s="355">
        <f t="shared" si="9"/>
        <v>3</v>
      </c>
      <c r="M20" s="355">
        <f t="shared" si="9"/>
        <v>100</v>
      </c>
      <c r="N20" s="355">
        <f t="shared" si="9"/>
        <v>1</v>
      </c>
      <c r="O20" s="355">
        <f t="shared" si="9"/>
        <v>100</v>
      </c>
      <c r="P20" s="355">
        <f t="shared" si="9"/>
        <v>3</v>
      </c>
      <c r="Q20" s="355">
        <f t="shared" si="9"/>
        <v>42.857142857142854</v>
      </c>
      <c r="R20" s="355">
        <f t="shared" si="9"/>
        <v>20</v>
      </c>
      <c r="S20" s="355">
        <f t="shared" si="9"/>
        <v>83.333333333333343</v>
      </c>
    </row>
    <row r="21" spans="1:19" ht="17.5" x14ac:dyDescent="0.35">
      <c r="A21" s="3"/>
      <c r="B21" s="42">
        <v>11</v>
      </c>
      <c r="C21" s="35" t="s">
        <v>200</v>
      </c>
      <c r="D21" s="35" t="s">
        <v>201</v>
      </c>
      <c r="E21" s="356">
        <f>E135</f>
        <v>12</v>
      </c>
      <c r="F21" s="356">
        <f t="shared" ref="F21:S21" si="10">F135</f>
        <v>2</v>
      </c>
      <c r="G21" s="356">
        <f t="shared" si="10"/>
        <v>1</v>
      </c>
      <c r="H21" s="356">
        <f t="shared" si="10"/>
        <v>0</v>
      </c>
      <c r="I21" s="356">
        <f t="shared" si="10"/>
        <v>15</v>
      </c>
      <c r="J21" s="356">
        <f t="shared" si="10"/>
        <v>12</v>
      </c>
      <c r="K21" s="356">
        <f t="shared" si="10"/>
        <v>100</v>
      </c>
      <c r="L21" s="356">
        <f t="shared" si="10"/>
        <v>0</v>
      </c>
      <c r="M21" s="356">
        <f t="shared" si="10"/>
        <v>0</v>
      </c>
      <c r="N21" s="356">
        <f t="shared" si="10"/>
        <v>1</v>
      </c>
      <c r="O21" s="356">
        <f t="shared" si="10"/>
        <v>100</v>
      </c>
      <c r="P21" s="356">
        <f t="shared" si="10"/>
        <v>0</v>
      </c>
      <c r="Q21" s="356" t="e">
        <f t="shared" si="10"/>
        <v>#DIV/0!</v>
      </c>
      <c r="R21" s="356">
        <f t="shared" si="10"/>
        <v>13</v>
      </c>
      <c r="S21" s="356">
        <f t="shared" si="10"/>
        <v>86.666666666666671</v>
      </c>
    </row>
    <row r="22" spans="1:19" ht="17.5" x14ac:dyDescent="0.35">
      <c r="A22" s="58"/>
      <c r="B22" s="131"/>
      <c r="C22" s="709" t="s">
        <v>2</v>
      </c>
      <c r="D22" s="709"/>
      <c r="E22" s="132">
        <f>SUM(E11:E21)</f>
        <v>155</v>
      </c>
      <c r="F22" s="132">
        <f t="shared" ref="F22:H22" si="11">SUM(F11:F21)</f>
        <v>40</v>
      </c>
      <c r="G22" s="132">
        <f t="shared" si="11"/>
        <v>11</v>
      </c>
      <c r="H22" s="132">
        <f t="shared" si="11"/>
        <v>15</v>
      </c>
      <c r="I22" s="132">
        <f>SUM(I11:I21)</f>
        <v>220</v>
      </c>
      <c r="J22" s="132">
        <f>SUM(J11:J21)</f>
        <v>141</v>
      </c>
      <c r="K22" s="133">
        <f>J22/E22*100</f>
        <v>90.967741935483872</v>
      </c>
      <c r="L22" s="134">
        <f>SUM(L11:L21)</f>
        <v>33</v>
      </c>
      <c r="M22" s="134">
        <f>L22/F22*100</f>
        <v>82.5</v>
      </c>
      <c r="N22" s="135">
        <f>SUM(N11:N21)</f>
        <v>11</v>
      </c>
      <c r="O22" s="133">
        <f>N22/G22*100</f>
        <v>100</v>
      </c>
      <c r="P22" s="135">
        <f>SUM(P11:P21)</f>
        <v>5</v>
      </c>
      <c r="Q22" s="134">
        <f>P22/H22*100</f>
        <v>33.333333333333329</v>
      </c>
      <c r="R22" s="135">
        <f>SUM(R11:R21)</f>
        <v>192</v>
      </c>
      <c r="S22" s="134">
        <f>R22/I22*100</f>
        <v>87.272727272727266</v>
      </c>
    </row>
    <row r="23" spans="1:19" x14ac:dyDescent="0.35">
      <c r="J23" s="13"/>
      <c r="K23" s="13"/>
      <c r="M23" s="13"/>
    </row>
    <row r="24" spans="1:19" x14ac:dyDescent="0.35">
      <c r="E24" s="1" t="s">
        <v>227</v>
      </c>
      <c r="J24" s="169"/>
    </row>
    <row r="26" spans="1:19" ht="16" thickBot="1" x14ac:dyDescent="0.4"/>
    <row r="27" spans="1:19" x14ac:dyDescent="0.35">
      <c r="A27" s="700" t="s">
        <v>0</v>
      </c>
      <c r="B27" s="700"/>
      <c r="C27" s="732" t="s">
        <v>53</v>
      </c>
      <c r="D27" s="732" t="s">
        <v>51</v>
      </c>
      <c r="E27" s="700" t="s">
        <v>25</v>
      </c>
      <c r="F27" s="700"/>
      <c r="G27" s="700"/>
      <c r="H27" s="700"/>
      <c r="I27" s="700"/>
      <c r="J27" s="735" t="s">
        <v>26</v>
      </c>
      <c r="K27" s="736"/>
      <c r="L27" s="736"/>
      <c r="M27" s="736"/>
      <c r="N27" s="736"/>
      <c r="O27" s="736"/>
      <c r="P27" s="736"/>
      <c r="Q27" s="736"/>
      <c r="R27" s="736"/>
      <c r="S27" s="737"/>
    </row>
    <row r="28" spans="1:19" x14ac:dyDescent="0.35">
      <c r="A28" s="700"/>
      <c r="B28" s="700"/>
      <c r="C28" s="733"/>
      <c r="D28" s="733"/>
      <c r="E28" s="738" t="s">
        <v>5</v>
      </c>
      <c r="F28" s="739"/>
      <c r="G28" s="742" t="s">
        <v>3</v>
      </c>
      <c r="H28" s="742" t="s">
        <v>28</v>
      </c>
      <c r="I28" s="742" t="s">
        <v>4</v>
      </c>
      <c r="J28" s="700" t="s">
        <v>27</v>
      </c>
      <c r="K28" s="700"/>
      <c r="L28" s="700"/>
      <c r="M28" s="700"/>
      <c r="N28" s="738" t="s">
        <v>3</v>
      </c>
      <c r="O28" s="743"/>
      <c r="P28" s="738" t="s">
        <v>28</v>
      </c>
      <c r="Q28" s="743"/>
      <c r="R28" s="738" t="s">
        <v>4</v>
      </c>
      <c r="S28" s="743"/>
    </row>
    <row r="29" spans="1:19" x14ac:dyDescent="0.35">
      <c r="A29" s="700"/>
      <c r="B29" s="700"/>
      <c r="C29" s="733"/>
      <c r="D29" s="733"/>
      <c r="E29" s="740"/>
      <c r="F29" s="741"/>
      <c r="G29" s="733"/>
      <c r="H29" s="733"/>
      <c r="I29" s="733"/>
      <c r="J29" s="697" t="s">
        <v>29</v>
      </c>
      <c r="K29" s="698"/>
      <c r="L29" s="697" t="s">
        <v>30</v>
      </c>
      <c r="M29" s="698"/>
      <c r="N29" s="740"/>
      <c r="O29" s="744"/>
      <c r="P29" s="740"/>
      <c r="Q29" s="744"/>
      <c r="R29" s="740"/>
      <c r="S29" s="744"/>
    </row>
    <row r="30" spans="1:19" x14ac:dyDescent="0.35">
      <c r="A30" s="700"/>
      <c r="B30" s="700"/>
      <c r="C30" s="734"/>
      <c r="D30" s="734"/>
      <c r="E30" s="37" t="s">
        <v>29</v>
      </c>
      <c r="F30" s="37" t="s">
        <v>30</v>
      </c>
      <c r="G30" s="734"/>
      <c r="H30" s="734"/>
      <c r="I30" s="734"/>
      <c r="J30" s="15" t="s">
        <v>31</v>
      </c>
      <c r="K30" s="37" t="s">
        <v>1</v>
      </c>
      <c r="L30" s="15" t="s">
        <v>31</v>
      </c>
      <c r="M30" s="37" t="s">
        <v>1</v>
      </c>
      <c r="N30" s="15" t="s">
        <v>31</v>
      </c>
      <c r="O30" s="37" t="s">
        <v>1</v>
      </c>
      <c r="P30" s="15" t="s">
        <v>31</v>
      </c>
      <c r="Q30" s="37" t="s">
        <v>1</v>
      </c>
      <c r="R30" s="15" t="s">
        <v>31</v>
      </c>
      <c r="S30" s="37" t="s">
        <v>1</v>
      </c>
    </row>
    <row r="31" spans="1:19" s="23" customFormat="1" x14ac:dyDescent="0.35">
      <c r="A31" s="5"/>
      <c r="B31" s="44">
        <v>1</v>
      </c>
      <c r="C31" s="44">
        <v>2</v>
      </c>
      <c r="D31" s="44">
        <v>3</v>
      </c>
      <c r="E31" s="44">
        <v>4</v>
      </c>
      <c r="F31" s="44">
        <v>5</v>
      </c>
      <c r="G31" s="44">
        <v>6</v>
      </c>
      <c r="H31" s="44">
        <v>7</v>
      </c>
      <c r="I31" s="44">
        <v>8</v>
      </c>
      <c r="J31" s="44">
        <v>9</v>
      </c>
      <c r="K31" s="44">
        <v>10</v>
      </c>
      <c r="L31" s="44">
        <v>11</v>
      </c>
      <c r="M31" s="44">
        <v>12</v>
      </c>
      <c r="N31" s="44">
        <v>13</v>
      </c>
      <c r="O31" s="44">
        <v>14</v>
      </c>
      <c r="P31" s="44">
        <v>15</v>
      </c>
      <c r="Q31" s="44">
        <v>16</v>
      </c>
      <c r="R31" s="44">
        <v>17</v>
      </c>
      <c r="S31" s="44">
        <v>18</v>
      </c>
    </row>
    <row r="32" spans="1:19" s="23" customFormat="1" ht="22.5" customHeight="1" x14ac:dyDescent="0.45">
      <c r="A32" s="36">
        <v>1</v>
      </c>
      <c r="B32" s="32">
        <v>1</v>
      </c>
      <c r="C32" s="569" t="s">
        <v>59</v>
      </c>
      <c r="D32" s="604" t="s">
        <v>60</v>
      </c>
      <c r="E32" s="589">
        <v>1</v>
      </c>
      <c r="F32" s="589">
        <v>0</v>
      </c>
      <c r="G32" s="589">
        <v>0</v>
      </c>
      <c r="H32" s="589">
        <v>0</v>
      </c>
      <c r="I32" s="605">
        <f>SUM(E32:H32)</f>
        <v>1</v>
      </c>
      <c r="J32" s="589">
        <v>1</v>
      </c>
      <c r="K32" s="539">
        <f>J32/E32*100</f>
        <v>100</v>
      </c>
      <c r="L32" s="589">
        <v>0</v>
      </c>
      <c r="M32" s="539" t="e">
        <f>L32/F32*100</f>
        <v>#DIV/0!</v>
      </c>
      <c r="N32" s="589">
        <v>0</v>
      </c>
      <c r="O32" s="466" t="e">
        <f>N32/G32*100</f>
        <v>#DIV/0!</v>
      </c>
      <c r="P32" s="589">
        <v>0</v>
      </c>
      <c r="Q32" s="467" t="e">
        <f>P32/H32*100</f>
        <v>#DIV/0!</v>
      </c>
      <c r="R32" s="589">
        <v>1</v>
      </c>
      <c r="S32" s="466">
        <f>R32/I32*100</f>
        <v>100</v>
      </c>
    </row>
    <row r="33" spans="1:19" ht="22.5" customHeight="1" x14ac:dyDescent="0.45">
      <c r="A33" s="36"/>
      <c r="B33" s="34">
        <v>2</v>
      </c>
      <c r="C33" s="450"/>
      <c r="D33" s="604" t="s">
        <v>61</v>
      </c>
      <c r="E33" s="589">
        <v>1</v>
      </c>
      <c r="F33" s="589">
        <v>0</v>
      </c>
      <c r="G33" s="589">
        <v>0</v>
      </c>
      <c r="H33" s="589">
        <v>0</v>
      </c>
      <c r="I33" s="605">
        <f t="shared" ref="I33:I38" si="12">SUM(E33:H33)</f>
        <v>1</v>
      </c>
      <c r="J33" s="589">
        <v>1</v>
      </c>
      <c r="K33" s="539">
        <f t="shared" ref="K33:K39" si="13">J33/E33*100</f>
        <v>100</v>
      </c>
      <c r="L33" s="589">
        <v>0</v>
      </c>
      <c r="M33" s="539" t="e">
        <f t="shared" ref="M33:M39" si="14">L33/F33*100</f>
        <v>#DIV/0!</v>
      </c>
      <c r="N33" s="589">
        <v>0</v>
      </c>
      <c r="O33" s="466" t="e">
        <f t="shared" ref="O33:O39" si="15">N33/G33*100</f>
        <v>#DIV/0!</v>
      </c>
      <c r="P33" s="589">
        <v>0</v>
      </c>
      <c r="Q33" s="467" t="e">
        <f t="shared" ref="Q33:Q38" si="16">P33/H33*100</f>
        <v>#DIV/0!</v>
      </c>
      <c r="R33" s="589">
        <v>1</v>
      </c>
      <c r="S33" s="466">
        <f t="shared" ref="S33:S39" si="17">R33/I33*100</f>
        <v>100</v>
      </c>
    </row>
    <row r="34" spans="1:19" ht="22.5" customHeight="1" x14ac:dyDescent="0.45">
      <c r="A34" s="36"/>
      <c r="B34" s="34">
        <v>3</v>
      </c>
      <c r="C34" s="450"/>
      <c r="D34" s="604" t="s">
        <v>62</v>
      </c>
      <c r="E34" s="589">
        <v>1</v>
      </c>
      <c r="F34" s="589">
        <v>0</v>
      </c>
      <c r="G34" s="589">
        <v>0</v>
      </c>
      <c r="H34" s="589">
        <v>0</v>
      </c>
      <c r="I34" s="605">
        <f t="shared" si="12"/>
        <v>1</v>
      </c>
      <c r="J34" s="589">
        <v>1</v>
      </c>
      <c r="K34" s="539">
        <f t="shared" si="13"/>
        <v>100</v>
      </c>
      <c r="L34" s="589">
        <v>0</v>
      </c>
      <c r="M34" s="539" t="e">
        <f t="shared" si="14"/>
        <v>#DIV/0!</v>
      </c>
      <c r="N34" s="589">
        <v>0</v>
      </c>
      <c r="O34" s="466" t="e">
        <f t="shared" si="15"/>
        <v>#DIV/0!</v>
      </c>
      <c r="P34" s="589">
        <v>0</v>
      </c>
      <c r="Q34" s="467" t="e">
        <f t="shared" si="16"/>
        <v>#DIV/0!</v>
      </c>
      <c r="R34" s="589">
        <v>1</v>
      </c>
      <c r="S34" s="466">
        <f t="shared" si="17"/>
        <v>100</v>
      </c>
    </row>
    <row r="35" spans="1:19" ht="22.5" customHeight="1" x14ac:dyDescent="0.45">
      <c r="A35" s="36"/>
      <c r="B35" s="34">
        <v>4</v>
      </c>
      <c r="C35" s="450"/>
      <c r="D35" s="604" t="s">
        <v>63</v>
      </c>
      <c r="E35" s="589">
        <v>2</v>
      </c>
      <c r="F35" s="589">
        <v>1</v>
      </c>
      <c r="G35" s="589">
        <v>0</v>
      </c>
      <c r="H35" s="589">
        <v>0</v>
      </c>
      <c r="I35" s="605">
        <f t="shared" si="12"/>
        <v>3</v>
      </c>
      <c r="J35" s="589">
        <v>2</v>
      </c>
      <c r="K35" s="539">
        <f t="shared" si="13"/>
        <v>100</v>
      </c>
      <c r="L35" s="589">
        <v>1</v>
      </c>
      <c r="M35" s="539">
        <f t="shared" si="14"/>
        <v>100</v>
      </c>
      <c r="N35" s="589">
        <v>0</v>
      </c>
      <c r="O35" s="466" t="e">
        <f t="shared" si="15"/>
        <v>#DIV/0!</v>
      </c>
      <c r="P35" s="589">
        <v>0</v>
      </c>
      <c r="Q35" s="467" t="e">
        <f t="shared" si="16"/>
        <v>#DIV/0!</v>
      </c>
      <c r="R35" s="589">
        <v>3</v>
      </c>
      <c r="S35" s="466">
        <f t="shared" si="17"/>
        <v>100</v>
      </c>
    </row>
    <row r="36" spans="1:19" ht="22.5" customHeight="1" x14ac:dyDescent="0.45">
      <c r="A36" s="36"/>
      <c r="B36" s="34">
        <v>5</v>
      </c>
      <c r="C36" s="450"/>
      <c r="D36" s="604" t="s">
        <v>64</v>
      </c>
      <c r="E36" s="589">
        <v>17</v>
      </c>
      <c r="F36" s="589">
        <v>3</v>
      </c>
      <c r="G36" s="589">
        <v>1</v>
      </c>
      <c r="H36" s="589">
        <v>1</v>
      </c>
      <c r="I36" s="605">
        <f t="shared" si="12"/>
        <v>22</v>
      </c>
      <c r="J36" s="589">
        <v>17</v>
      </c>
      <c r="K36" s="539">
        <f t="shared" si="13"/>
        <v>100</v>
      </c>
      <c r="L36" s="589">
        <v>3</v>
      </c>
      <c r="M36" s="539">
        <f t="shared" si="14"/>
        <v>100</v>
      </c>
      <c r="N36" s="589">
        <v>1</v>
      </c>
      <c r="O36" s="466">
        <f t="shared" si="15"/>
        <v>100</v>
      </c>
      <c r="P36" s="589">
        <v>1</v>
      </c>
      <c r="Q36" s="467">
        <f t="shared" si="16"/>
        <v>100</v>
      </c>
      <c r="R36" s="589">
        <v>21</v>
      </c>
      <c r="S36" s="466">
        <f t="shared" si="17"/>
        <v>95.454545454545453</v>
      </c>
    </row>
    <row r="37" spans="1:19" ht="22.5" customHeight="1" x14ac:dyDescent="0.45">
      <c r="A37" s="36"/>
      <c r="B37" s="34">
        <v>6</v>
      </c>
      <c r="C37" s="450"/>
      <c r="D37" s="604" t="s">
        <v>65</v>
      </c>
      <c r="E37" s="589">
        <v>1</v>
      </c>
      <c r="F37" s="589">
        <v>1</v>
      </c>
      <c r="G37" s="589">
        <v>0</v>
      </c>
      <c r="H37" s="589">
        <v>0</v>
      </c>
      <c r="I37" s="605">
        <f t="shared" si="12"/>
        <v>2</v>
      </c>
      <c r="J37" s="589">
        <v>1</v>
      </c>
      <c r="K37" s="539">
        <f t="shared" si="13"/>
        <v>100</v>
      </c>
      <c r="L37" s="589">
        <v>1</v>
      </c>
      <c r="M37" s="539">
        <f t="shared" si="14"/>
        <v>100</v>
      </c>
      <c r="N37" s="589">
        <v>0</v>
      </c>
      <c r="O37" s="466" t="e">
        <f t="shared" si="15"/>
        <v>#DIV/0!</v>
      </c>
      <c r="P37" s="589">
        <v>0</v>
      </c>
      <c r="Q37" s="467" t="e">
        <f t="shared" si="16"/>
        <v>#DIV/0!</v>
      </c>
      <c r="R37" s="589">
        <v>2</v>
      </c>
      <c r="S37" s="466">
        <f t="shared" si="17"/>
        <v>100</v>
      </c>
    </row>
    <row r="38" spans="1:19" ht="22.5" customHeight="1" x14ac:dyDescent="0.45">
      <c r="A38" s="36"/>
      <c r="B38" s="34">
        <v>7</v>
      </c>
      <c r="C38" s="450"/>
      <c r="D38" s="604" t="s">
        <v>229</v>
      </c>
      <c r="E38" s="589">
        <v>1</v>
      </c>
      <c r="F38" s="589">
        <v>0</v>
      </c>
      <c r="G38" s="589">
        <v>0</v>
      </c>
      <c r="H38" s="589">
        <v>0</v>
      </c>
      <c r="I38" s="605">
        <f t="shared" si="12"/>
        <v>1</v>
      </c>
      <c r="J38" s="589">
        <v>1</v>
      </c>
      <c r="K38" s="539">
        <f t="shared" si="13"/>
        <v>100</v>
      </c>
      <c r="L38" s="589">
        <v>0</v>
      </c>
      <c r="M38" s="539" t="e">
        <f t="shared" si="14"/>
        <v>#DIV/0!</v>
      </c>
      <c r="N38" s="589">
        <v>0</v>
      </c>
      <c r="O38" s="466" t="e">
        <f t="shared" si="15"/>
        <v>#DIV/0!</v>
      </c>
      <c r="P38" s="589">
        <v>0</v>
      </c>
      <c r="Q38" s="467" t="e">
        <f t="shared" si="16"/>
        <v>#DIV/0!</v>
      </c>
      <c r="R38" s="589">
        <v>1</v>
      </c>
      <c r="S38" s="466">
        <f t="shared" si="17"/>
        <v>100</v>
      </c>
    </row>
    <row r="39" spans="1:19" ht="22.5" customHeight="1" x14ac:dyDescent="0.45">
      <c r="A39" s="36"/>
      <c r="B39" s="34">
        <v>8</v>
      </c>
      <c r="C39" s="450"/>
      <c r="D39" s="604" t="s">
        <v>66</v>
      </c>
      <c r="E39" s="589">
        <v>1</v>
      </c>
      <c r="F39" s="589">
        <v>1</v>
      </c>
      <c r="G39" s="589">
        <v>0</v>
      </c>
      <c r="H39" s="589">
        <v>0</v>
      </c>
      <c r="I39" s="605">
        <f>SUM(E39:H39)</f>
        <v>2</v>
      </c>
      <c r="J39" s="589">
        <v>1</v>
      </c>
      <c r="K39" s="539">
        <f t="shared" si="13"/>
        <v>100</v>
      </c>
      <c r="L39" s="589">
        <v>1</v>
      </c>
      <c r="M39" s="539">
        <f t="shared" si="14"/>
        <v>100</v>
      </c>
      <c r="N39" s="589">
        <v>0</v>
      </c>
      <c r="O39" s="466" t="e">
        <f t="shared" si="15"/>
        <v>#DIV/0!</v>
      </c>
      <c r="P39" s="589">
        <v>0</v>
      </c>
      <c r="Q39" s="467" t="e">
        <f>P39/H39*100</f>
        <v>#DIV/0!</v>
      </c>
      <c r="R39" s="589">
        <v>2</v>
      </c>
      <c r="S39" s="466">
        <f t="shared" si="17"/>
        <v>100</v>
      </c>
    </row>
    <row r="40" spans="1:19" ht="22.5" customHeight="1" x14ac:dyDescent="0.35">
      <c r="A40" s="541"/>
      <c r="B40" s="124"/>
      <c r="C40" s="572"/>
      <c r="D40" s="125" t="s">
        <v>191</v>
      </c>
      <c r="E40" s="400">
        <f>SUM(E32:E39)</f>
        <v>25</v>
      </c>
      <c r="F40" s="400">
        <f t="shared" ref="F40:J40" si="18">SUM(F32:F39)</f>
        <v>6</v>
      </c>
      <c r="G40" s="400">
        <f t="shared" si="18"/>
        <v>1</v>
      </c>
      <c r="H40" s="400">
        <f t="shared" si="18"/>
        <v>1</v>
      </c>
      <c r="I40" s="400">
        <f>SUM(I32:I39)</f>
        <v>33</v>
      </c>
      <c r="J40" s="400">
        <f t="shared" si="18"/>
        <v>25</v>
      </c>
      <c r="K40" s="426">
        <f>J40/E40*100</f>
        <v>100</v>
      </c>
      <c r="L40" s="159">
        <f>SUM(L32:L39)</f>
        <v>6</v>
      </c>
      <c r="M40" s="426">
        <f>L40/F40*100</f>
        <v>100</v>
      </c>
      <c r="N40" s="159">
        <f>SUM(N32:N39)</f>
        <v>1</v>
      </c>
      <c r="O40" s="426">
        <f>N40/G40*100</f>
        <v>100</v>
      </c>
      <c r="P40" s="159">
        <f>SUM(P32:P39)</f>
        <v>1</v>
      </c>
      <c r="Q40" s="159">
        <f>P40/H40*100</f>
        <v>100</v>
      </c>
      <c r="R40" s="493">
        <f>SUM(R32:R39)</f>
        <v>32</v>
      </c>
      <c r="S40" s="426">
        <f>R40/I40*100</f>
        <v>96.969696969696969</v>
      </c>
    </row>
    <row r="41" spans="1:19" s="23" customFormat="1" ht="22.5" customHeight="1" x14ac:dyDescent="0.35">
      <c r="A41" s="50">
        <v>2</v>
      </c>
      <c r="B41" s="33">
        <v>1</v>
      </c>
      <c r="C41" s="584" t="s">
        <v>69</v>
      </c>
      <c r="D41" s="464" t="s">
        <v>70</v>
      </c>
      <c r="E41" s="465">
        <v>1</v>
      </c>
      <c r="F41" s="465">
        <v>0</v>
      </c>
      <c r="G41" s="465">
        <v>0</v>
      </c>
      <c r="H41" s="465">
        <v>0</v>
      </c>
      <c r="I41" s="465">
        <f>SUM(E41:H41)</f>
        <v>1</v>
      </c>
      <c r="J41" s="465">
        <v>1</v>
      </c>
      <c r="K41" s="466">
        <f>J41/E41*100</f>
        <v>100</v>
      </c>
      <c r="L41" s="465">
        <v>0</v>
      </c>
      <c r="M41" s="466" t="e">
        <f>L41/F41*100</f>
        <v>#DIV/0!</v>
      </c>
      <c r="N41" s="465">
        <v>0</v>
      </c>
      <c r="O41" s="466" t="e">
        <f>N41/G41*100</f>
        <v>#DIV/0!</v>
      </c>
      <c r="P41" s="465">
        <v>0</v>
      </c>
      <c r="Q41" s="466" t="e">
        <f>P41/H41*100</f>
        <v>#DIV/0!</v>
      </c>
      <c r="R41" s="465">
        <v>1</v>
      </c>
      <c r="S41" s="466">
        <f>R41/I41*100</f>
        <v>100</v>
      </c>
    </row>
    <row r="42" spans="1:19" ht="22.5" customHeight="1" x14ac:dyDescent="0.35">
      <c r="A42" s="36"/>
      <c r="B42" s="35">
        <v>2</v>
      </c>
      <c r="C42" s="585"/>
      <c r="D42" s="464" t="s">
        <v>71</v>
      </c>
      <c r="E42" s="466">
        <v>1</v>
      </c>
      <c r="F42" s="466">
        <v>0</v>
      </c>
      <c r="G42" s="467">
        <v>0</v>
      </c>
      <c r="H42" s="465">
        <v>0</v>
      </c>
      <c r="I42" s="465">
        <f t="shared" ref="I42:I47" si="19">SUM(E42:H42)</f>
        <v>1</v>
      </c>
      <c r="J42" s="466">
        <v>1</v>
      </c>
      <c r="K42" s="466">
        <f t="shared" ref="K42:K47" si="20">J42/E42*100</f>
        <v>100</v>
      </c>
      <c r="L42" s="466">
        <v>0</v>
      </c>
      <c r="M42" s="466" t="e">
        <f t="shared" ref="M42:M47" si="21">L42/F42*100</f>
        <v>#DIV/0!</v>
      </c>
      <c r="N42" s="467">
        <v>0</v>
      </c>
      <c r="O42" s="466" t="e">
        <f t="shared" ref="O42:O47" si="22">N42/G42*100</f>
        <v>#DIV/0!</v>
      </c>
      <c r="P42" s="467">
        <v>0</v>
      </c>
      <c r="Q42" s="466" t="e">
        <f t="shared" ref="Q42:Q47" si="23">P42/H42*100</f>
        <v>#DIV/0!</v>
      </c>
      <c r="R42" s="467">
        <v>1</v>
      </c>
      <c r="S42" s="466">
        <f t="shared" ref="S42:S47" si="24">R42/I42*100</f>
        <v>100</v>
      </c>
    </row>
    <row r="43" spans="1:19" ht="22.5" customHeight="1" x14ac:dyDescent="0.35">
      <c r="A43" s="36"/>
      <c r="B43" s="35">
        <v>3</v>
      </c>
      <c r="C43" s="585"/>
      <c r="D43" s="464" t="s">
        <v>72</v>
      </c>
      <c r="E43" s="466">
        <v>2</v>
      </c>
      <c r="F43" s="466">
        <v>1</v>
      </c>
      <c r="G43" s="467">
        <v>1</v>
      </c>
      <c r="H43" s="465">
        <v>0</v>
      </c>
      <c r="I43" s="465">
        <f t="shared" si="19"/>
        <v>4</v>
      </c>
      <c r="J43" s="466">
        <v>2</v>
      </c>
      <c r="K43" s="466">
        <f t="shared" si="20"/>
        <v>100</v>
      </c>
      <c r="L43" s="466">
        <v>1</v>
      </c>
      <c r="M43" s="466">
        <f t="shared" si="21"/>
        <v>100</v>
      </c>
      <c r="N43" s="467">
        <v>1</v>
      </c>
      <c r="O43" s="466">
        <f t="shared" si="22"/>
        <v>100</v>
      </c>
      <c r="P43" s="467">
        <v>0</v>
      </c>
      <c r="Q43" s="466" t="e">
        <f t="shared" si="23"/>
        <v>#DIV/0!</v>
      </c>
      <c r="R43" s="467">
        <v>4</v>
      </c>
      <c r="S43" s="466">
        <f t="shared" si="24"/>
        <v>100</v>
      </c>
    </row>
    <row r="44" spans="1:19" ht="22.5" customHeight="1" x14ac:dyDescent="0.35">
      <c r="A44" s="36"/>
      <c r="B44" s="35">
        <v>4</v>
      </c>
      <c r="C44" s="585"/>
      <c r="D44" s="464" t="s">
        <v>73</v>
      </c>
      <c r="E44" s="466">
        <v>1</v>
      </c>
      <c r="F44" s="466">
        <v>0</v>
      </c>
      <c r="G44" s="467">
        <v>0</v>
      </c>
      <c r="H44" s="465">
        <v>0</v>
      </c>
      <c r="I44" s="465">
        <f t="shared" si="19"/>
        <v>1</v>
      </c>
      <c r="J44" s="466">
        <v>1</v>
      </c>
      <c r="K44" s="466">
        <f t="shared" si="20"/>
        <v>100</v>
      </c>
      <c r="L44" s="466">
        <v>0</v>
      </c>
      <c r="M44" s="466" t="e">
        <f t="shared" si="21"/>
        <v>#DIV/0!</v>
      </c>
      <c r="N44" s="467">
        <v>0</v>
      </c>
      <c r="O44" s="466" t="e">
        <f t="shared" si="22"/>
        <v>#DIV/0!</v>
      </c>
      <c r="P44" s="467">
        <v>0</v>
      </c>
      <c r="Q44" s="466" t="e">
        <f t="shared" si="23"/>
        <v>#DIV/0!</v>
      </c>
      <c r="R44" s="467">
        <v>1</v>
      </c>
      <c r="S44" s="466">
        <f t="shared" si="24"/>
        <v>100</v>
      </c>
    </row>
    <row r="45" spans="1:19" ht="22.5" customHeight="1" x14ac:dyDescent="0.35">
      <c r="A45" s="36"/>
      <c r="B45" s="35">
        <v>5</v>
      </c>
      <c r="C45" s="585"/>
      <c r="D45" s="464" t="s">
        <v>74</v>
      </c>
      <c r="E45" s="466">
        <v>1</v>
      </c>
      <c r="F45" s="466">
        <v>0</v>
      </c>
      <c r="G45" s="467">
        <v>0</v>
      </c>
      <c r="H45" s="465">
        <v>0</v>
      </c>
      <c r="I45" s="465">
        <f t="shared" si="19"/>
        <v>1</v>
      </c>
      <c r="J45" s="466">
        <v>1</v>
      </c>
      <c r="K45" s="466">
        <f t="shared" si="20"/>
        <v>100</v>
      </c>
      <c r="L45" s="466">
        <v>0</v>
      </c>
      <c r="M45" s="466" t="e">
        <f t="shared" si="21"/>
        <v>#DIV/0!</v>
      </c>
      <c r="N45" s="467">
        <v>0</v>
      </c>
      <c r="O45" s="466" t="e">
        <f t="shared" si="22"/>
        <v>#DIV/0!</v>
      </c>
      <c r="P45" s="467">
        <v>0</v>
      </c>
      <c r="Q45" s="466" t="e">
        <f t="shared" si="23"/>
        <v>#DIV/0!</v>
      </c>
      <c r="R45" s="467">
        <v>1</v>
      </c>
      <c r="S45" s="466">
        <f t="shared" si="24"/>
        <v>100</v>
      </c>
    </row>
    <row r="46" spans="1:19" ht="22.5" customHeight="1" x14ac:dyDescent="0.35">
      <c r="A46" s="36"/>
      <c r="B46" s="35">
        <v>6</v>
      </c>
      <c r="C46" s="585"/>
      <c r="D46" s="464" t="s">
        <v>75</v>
      </c>
      <c r="E46" s="466">
        <v>3</v>
      </c>
      <c r="F46" s="466">
        <v>1</v>
      </c>
      <c r="G46" s="467">
        <v>0</v>
      </c>
      <c r="H46" s="465">
        <v>0</v>
      </c>
      <c r="I46" s="465">
        <f t="shared" si="19"/>
        <v>4</v>
      </c>
      <c r="J46" s="466">
        <v>3</v>
      </c>
      <c r="K46" s="466">
        <f t="shared" si="20"/>
        <v>100</v>
      </c>
      <c r="L46" s="466">
        <v>1</v>
      </c>
      <c r="M46" s="466">
        <f t="shared" si="21"/>
        <v>100</v>
      </c>
      <c r="N46" s="467">
        <v>0</v>
      </c>
      <c r="O46" s="466" t="e">
        <f t="shared" si="22"/>
        <v>#DIV/0!</v>
      </c>
      <c r="P46" s="467">
        <v>0</v>
      </c>
      <c r="Q46" s="466" t="e">
        <f t="shared" si="23"/>
        <v>#DIV/0!</v>
      </c>
      <c r="R46" s="467">
        <v>4</v>
      </c>
      <c r="S46" s="466">
        <f t="shared" si="24"/>
        <v>100</v>
      </c>
    </row>
    <row r="47" spans="1:19" ht="22.5" customHeight="1" x14ac:dyDescent="0.35">
      <c r="A47" s="36"/>
      <c r="B47" s="35">
        <v>7</v>
      </c>
      <c r="C47" s="585"/>
      <c r="D47" s="464" t="s">
        <v>76</v>
      </c>
      <c r="E47" s="466">
        <v>1</v>
      </c>
      <c r="F47" s="466">
        <v>0</v>
      </c>
      <c r="G47" s="467">
        <v>0</v>
      </c>
      <c r="H47" s="465">
        <v>0</v>
      </c>
      <c r="I47" s="465">
        <f t="shared" si="19"/>
        <v>1</v>
      </c>
      <c r="J47" s="466">
        <v>1</v>
      </c>
      <c r="K47" s="466">
        <f t="shared" si="20"/>
        <v>100</v>
      </c>
      <c r="L47" s="466">
        <v>0</v>
      </c>
      <c r="M47" s="466" t="e">
        <f t="shared" si="21"/>
        <v>#DIV/0!</v>
      </c>
      <c r="N47" s="467">
        <v>0</v>
      </c>
      <c r="O47" s="466" t="e">
        <f t="shared" si="22"/>
        <v>#DIV/0!</v>
      </c>
      <c r="P47" s="467">
        <v>0</v>
      </c>
      <c r="Q47" s="466" t="e">
        <f t="shared" si="23"/>
        <v>#DIV/0!</v>
      </c>
      <c r="R47" s="467">
        <v>1</v>
      </c>
      <c r="S47" s="466">
        <f t="shared" si="24"/>
        <v>100</v>
      </c>
    </row>
    <row r="48" spans="1:19" ht="22.5" customHeight="1" x14ac:dyDescent="0.35">
      <c r="A48" s="594"/>
      <c r="B48" s="308"/>
      <c r="C48" s="586"/>
      <c r="D48" s="158" t="s">
        <v>191</v>
      </c>
      <c r="E48" s="426">
        <f>SUM(E41:E47)</f>
        <v>10</v>
      </c>
      <c r="F48" s="426">
        <f t="shared" ref="F48:J48" si="25">SUM(F41:F47)</f>
        <v>2</v>
      </c>
      <c r="G48" s="426">
        <f t="shared" si="25"/>
        <v>1</v>
      </c>
      <c r="H48" s="426">
        <f t="shared" si="25"/>
        <v>0</v>
      </c>
      <c r="I48" s="426">
        <f t="shared" si="25"/>
        <v>13</v>
      </c>
      <c r="J48" s="426">
        <f t="shared" si="25"/>
        <v>10</v>
      </c>
      <c r="K48" s="426">
        <f>J48/E48*100</f>
        <v>100</v>
      </c>
      <c r="L48" s="426">
        <f>SUM(L41:L47)</f>
        <v>2</v>
      </c>
      <c r="M48" s="426">
        <f>L48/F48*100</f>
        <v>100</v>
      </c>
      <c r="N48" s="159">
        <f>SUM(N41:N47)</f>
        <v>1</v>
      </c>
      <c r="O48" s="426">
        <f>N48/G48*100</f>
        <v>100</v>
      </c>
      <c r="P48" s="159">
        <f>SUM(P41:P47)</f>
        <v>0</v>
      </c>
      <c r="Q48" s="426" t="e">
        <f>P48/H48*100</f>
        <v>#DIV/0!</v>
      </c>
      <c r="R48" s="159">
        <f>SUM(R41:R47)</f>
        <v>13</v>
      </c>
      <c r="S48" s="426">
        <f>R48/I48*100</f>
        <v>100</v>
      </c>
    </row>
    <row r="49" spans="1:19" s="86" customFormat="1" ht="22.5" customHeight="1" x14ac:dyDescent="0.35">
      <c r="A49" s="33">
        <v>3</v>
      </c>
      <c r="B49" s="33">
        <v>1</v>
      </c>
      <c r="C49" s="569" t="s">
        <v>77</v>
      </c>
      <c r="D49" s="595" t="s">
        <v>78</v>
      </c>
      <c r="E49" s="465">
        <v>4</v>
      </c>
      <c r="F49" s="465">
        <v>1</v>
      </c>
      <c r="G49" s="465">
        <v>1</v>
      </c>
      <c r="H49" s="465">
        <v>0</v>
      </c>
      <c r="I49" s="465">
        <v>6</v>
      </c>
      <c r="J49" s="465">
        <v>4</v>
      </c>
      <c r="K49" s="465">
        <v>100</v>
      </c>
      <c r="L49" s="465">
        <v>1</v>
      </c>
      <c r="M49" s="465">
        <v>100</v>
      </c>
      <c r="N49" s="465">
        <v>1</v>
      </c>
      <c r="O49" s="465">
        <v>100</v>
      </c>
      <c r="P49" s="465">
        <v>0</v>
      </c>
      <c r="Q49" s="465" t="e">
        <v>#DIV/0!</v>
      </c>
      <c r="R49" s="465">
        <v>6</v>
      </c>
      <c r="S49" s="465">
        <v>100</v>
      </c>
    </row>
    <row r="50" spans="1:19" s="86" customFormat="1" ht="22.5" customHeight="1" x14ac:dyDescent="0.35">
      <c r="A50" s="35"/>
      <c r="B50" s="35">
        <v>2</v>
      </c>
      <c r="C50" s="450"/>
      <c r="D50" s="595" t="s">
        <v>79</v>
      </c>
      <c r="E50" s="465">
        <v>1</v>
      </c>
      <c r="F50" s="465">
        <v>0</v>
      </c>
      <c r="G50" s="465">
        <v>0</v>
      </c>
      <c r="H50" s="465">
        <v>0</v>
      </c>
      <c r="I50" s="465">
        <v>1</v>
      </c>
      <c r="J50" s="465">
        <v>1</v>
      </c>
      <c r="K50" s="465">
        <v>100</v>
      </c>
      <c r="L50" s="465">
        <v>0</v>
      </c>
      <c r="M50" s="465" t="e">
        <v>#DIV/0!</v>
      </c>
      <c r="N50" s="465">
        <v>0</v>
      </c>
      <c r="O50" s="465" t="e">
        <v>#DIV/0!</v>
      </c>
      <c r="P50" s="465">
        <v>0</v>
      </c>
      <c r="Q50" s="465" t="e">
        <v>#DIV/0!</v>
      </c>
      <c r="R50" s="465">
        <v>1</v>
      </c>
      <c r="S50" s="465">
        <v>100</v>
      </c>
    </row>
    <row r="51" spans="1:19" s="86" customFormat="1" ht="22.5" customHeight="1" x14ac:dyDescent="0.35">
      <c r="A51" s="35"/>
      <c r="B51" s="35">
        <v>3</v>
      </c>
      <c r="C51" s="450"/>
      <c r="D51" s="595" t="s">
        <v>80</v>
      </c>
      <c r="E51" s="465">
        <v>1</v>
      </c>
      <c r="F51" s="465">
        <v>0</v>
      </c>
      <c r="G51" s="465">
        <v>0</v>
      </c>
      <c r="H51" s="465">
        <v>0</v>
      </c>
      <c r="I51" s="465">
        <v>1</v>
      </c>
      <c r="J51" s="465">
        <v>1</v>
      </c>
      <c r="K51" s="465">
        <v>100</v>
      </c>
      <c r="L51" s="465">
        <v>0</v>
      </c>
      <c r="M51" s="465" t="e">
        <v>#DIV/0!</v>
      </c>
      <c r="N51" s="465">
        <v>0</v>
      </c>
      <c r="O51" s="465" t="e">
        <v>#DIV/0!</v>
      </c>
      <c r="P51" s="465">
        <v>0</v>
      </c>
      <c r="Q51" s="465" t="e">
        <v>#DIV/0!</v>
      </c>
      <c r="R51" s="465">
        <v>1</v>
      </c>
      <c r="S51" s="465">
        <v>100</v>
      </c>
    </row>
    <row r="52" spans="1:19" s="86" customFormat="1" ht="22.5" customHeight="1" x14ac:dyDescent="0.35">
      <c r="A52" s="35"/>
      <c r="B52" s="35">
        <v>4</v>
      </c>
      <c r="C52" s="450"/>
      <c r="D52" s="595" t="s">
        <v>81</v>
      </c>
      <c r="E52" s="465">
        <v>1</v>
      </c>
      <c r="F52" s="465">
        <v>2</v>
      </c>
      <c r="G52" s="465">
        <v>0</v>
      </c>
      <c r="H52" s="465">
        <v>0</v>
      </c>
      <c r="I52" s="465">
        <v>3</v>
      </c>
      <c r="J52" s="465">
        <v>1</v>
      </c>
      <c r="K52" s="465">
        <v>100</v>
      </c>
      <c r="L52" s="465">
        <v>2</v>
      </c>
      <c r="M52" s="465">
        <v>100</v>
      </c>
      <c r="N52" s="465">
        <v>0</v>
      </c>
      <c r="O52" s="465" t="e">
        <v>#DIV/0!</v>
      </c>
      <c r="P52" s="465">
        <v>0</v>
      </c>
      <c r="Q52" s="465" t="e">
        <v>#DIV/0!</v>
      </c>
      <c r="R52" s="465">
        <v>3</v>
      </c>
      <c r="S52" s="465">
        <v>100</v>
      </c>
    </row>
    <row r="53" spans="1:19" s="86" customFormat="1" ht="22.5" customHeight="1" x14ac:dyDescent="0.35">
      <c r="A53" s="35"/>
      <c r="B53" s="35">
        <v>5</v>
      </c>
      <c r="C53" s="450"/>
      <c r="D53" s="595" t="s">
        <v>82</v>
      </c>
      <c r="E53" s="465">
        <v>1</v>
      </c>
      <c r="F53" s="465">
        <v>1</v>
      </c>
      <c r="G53" s="465">
        <v>0</v>
      </c>
      <c r="H53" s="465">
        <v>0</v>
      </c>
      <c r="I53" s="465">
        <v>2</v>
      </c>
      <c r="J53" s="465">
        <v>1</v>
      </c>
      <c r="K53" s="465">
        <v>100</v>
      </c>
      <c r="L53" s="465">
        <v>1</v>
      </c>
      <c r="M53" s="465">
        <v>100</v>
      </c>
      <c r="N53" s="465">
        <v>0</v>
      </c>
      <c r="O53" s="465" t="e">
        <v>#DIV/0!</v>
      </c>
      <c r="P53" s="465">
        <v>0</v>
      </c>
      <c r="Q53" s="465" t="e">
        <v>#DIV/0!</v>
      </c>
      <c r="R53" s="465">
        <v>2</v>
      </c>
      <c r="S53" s="465">
        <v>100</v>
      </c>
    </row>
    <row r="54" spans="1:19" s="86" customFormat="1" ht="22.5" customHeight="1" x14ac:dyDescent="0.35">
      <c r="A54" s="55"/>
      <c r="B54" s="55">
        <v>6</v>
      </c>
      <c r="C54" s="587"/>
      <c r="D54" s="595" t="s">
        <v>83</v>
      </c>
      <c r="E54" s="465">
        <v>2</v>
      </c>
      <c r="F54" s="465">
        <v>0</v>
      </c>
      <c r="G54" s="465">
        <v>0</v>
      </c>
      <c r="H54" s="465">
        <v>0</v>
      </c>
      <c r="I54" s="465">
        <v>2</v>
      </c>
      <c r="J54" s="465">
        <v>2</v>
      </c>
      <c r="K54" s="465">
        <v>100</v>
      </c>
      <c r="L54" s="465">
        <v>0</v>
      </c>
      <c r="M54" s="465" t="e">
        <v>#DIV/0!</v>
      </c>
      <c r="N54" s="465">
        <v>0</v>
      </c>
      <c r="O54" s="465" t="e">
        <v>#DIV/0!</v>
      </c>
      <c r="P54" s="465">
        <v>0</v>
      </c>
      <c r="Q54" s="465" t="e">
        <v>#DIV/0!</v>
      </c>
      <c r="R54" s="465">
        <v>2</v>
      </c>
      <c r="S54" s="465">
        <v>100</v>
      </c>
    </row>
    <row r="55" spans="1:19" s="86" customFormat="1" ht="22.5" customHeight="1" x14ac:dyDescent="0.35">
      <c r="B55" s="35"/>
      <c r="C55" s="572"/>
      <c r="D55" s="125" t="s">
        <v>191</v>
      </c>
      <c r="E55" s="493">
        <f>SUM(E49:E54)</f>
        <v>10</v>
      </c>
      <c r="F55" s="493">
        <f t="shared" ref="F55:J55" si="26">SUM(F49:F54)</f>
        <v>4</v>
      </c>
      <c r="G55" s="493">
        <f t="shared" si="26"/>
        <v>1</v>
      </c>
      <c r="H55" s="493">
        <f t="shared" si="26"/>
        <v>0</v>
      </c>
      <c r="I55" s="493">
        <f t="shared" si="26"/>
        <v>15</v>
      </c>
      <c r="J55" s="493">
        <f t="shared" si="26"/>
        <v>10</v>
      </c>
      <c r="K55" s="493">
        <f>J55/E55*100</f>
        <v>100</v>
      </c>
      <c r="L55" s="493">
        <f>SUM(L49:L54)</f>
        <v>4</v>
      </c>
      <c r="M55" s="493">
        <f>L55/F55*100</f>
        <v>100</v>
      </c>
      <c r="N55" s="493">
        <f>SUM(N49:N54)</f>
        <v>1</v>
      </c>
      <c r="O55" s="493">
        <f>N55/G55*100</f>
        <v>100</v>
      </c>
      <c r="P55" s="493">
        <f>SUM(P49:P54)</f>
        <v>0</v>
      </c>
      <c r="Q55" s="493" t="e">
        <f>P55/H55*100</f>
        <v>#DIV/0!</v>
      </c>
      <c r="R55" s="493">
        <f>SUM(R49:R54)</f>
        <v>15</v>
      </c>
      <c r="S55" s="493">
        <f>R55/I55*100</f>
        <v>100</v>
      </c>
    </row>
    <row r="56" spans="1:19" ht="22.5" customHeight="1" x14ac:dyDescent="0.35">
      <c r="A56" s="30">
        <v>4</v>
      </c>
      <c r="B56" s="34">
        <v>1</v>
      </c>
      <c r="C56" s="450" t="s">
        <v>84</v>
      </c>
      <c r="D56" s="595" t="s">
        <v>90</v>
      </c>
      <c r="E56" s="490">
        <v>2</v>
      </c>
      <c r="F56" s="490">
        <v>1</v>
      </c>
      <c r="G56" s="465">
        <v>1</v>
      </c>
      <c r="H56" s="467">
        <v>0</v>
      </c>
      <c r="I56" s="465">
        <f>SUM(E56:H56)</f>
        <v>4</v>
      </c>
      <c r="J56" s="490">
        <v>2</v>
      </c>
      <c r="K56" s="466">
        <f>J56/E56*100</f>
        <v>100</v>
      </c>
      <c r="L56" s="490">
        <v>1</v>
      </c>
      <c r="M56" s="466">
        <f>L56/F56*100</f>
        <v>100</v>
      </c>
      <c r="N56" s="465">
        <v>1</v>
      </c>
      <c r="O56" s="466">
        <f>N56/G56*100</f>
        <v>100</v>
      </c>
      <c r="P56" s="467">
        <v>0</v>
      </c>
      <c r="Q56" s="467" t="e">
        <f>P56/H56*100</f>
        <v>#DIV/0!</v>
      </c>
      <c r="R56" s="465">
        <f>J56+L56+N56+P56</f>
        <v>4</v>
      </c>
      <c r="S56" s="466">
        <f>R56/I56*100</f>
        <v>100</v>
      </c>
    </row>
    <row r="57" spans="1:19" s="6" customFormat="1" ht="22.5" customHeight="1" x14ac:dyDescent="0.35">
      <c r="A57" s="16"/>
      <c r="B57" s="34">
        <v>2</v>
      </c>
      <c r="C57" s="450"/>
      <c r="D57" s="595" t="s">
        <v>85</v>
      </c>
      <c r="E57" s="490">
        <v>1</v>
      </c>
      <c r="F57" s="467">
        <v>0</v>
      </c>
      <c r="G57" s="467">
        <v>0</v>
      </c>
      <c r="H57" s="467">
        <v>0</v>
      </c>
      <c r="I57" s="465">
        <f t="shared" ref="I57:I62" si="27">SUM(E57:H57)</f>
        <v>1</v>
      </c>
      <c r="J57" s="490">
        <v>1</v>
      </c>
      <c r="K57" s="466">
        <f t="shared" ref="K57:K62" si="28">J57/E57*100</f>
        <v>100</v>
      </c>
      <c r="L57" s="467">
        <v>0</v>
      </c>
      <c r="M57" s="466" t="e">
        <f t="shared" ref="M57:M62" si="29">L57/F57*100</f>
        <v>#DIV/0!</v>
      </c>
      <c r="N57" s="467">
        <v>0</v>
      </c>
      <c r="O57" s="466" t="e">
        <f t="shared" ref="O57:O62" si="30">N57/G57*100</f>
        <v>#DIV/0!</v>
      </c>
      <c r="P57" s="467">
        <v>0</v>
      </c>
      <c r="Q57" s="467" t="e">
        <f t="shared" ref="Q57:Q62" si="31">P57/H57*100</f>
        <v>#DIV/0!</v>
      </c>
      <c r="R57" s="465">
        <f t="shared" ref="R57:S62" si="32">J57+L57+N57+P57</f>
        <v>1</v>
      </c>
      <c r="S57" s="465" t="e">
        <f t="shared" si="32"/>
        <v>#DIV/0!</v>
      </c>
    </row>
    <row r="58" spans="1:19" ht="22.5" customHeight="1" x14ac:dyDescent="0.35">
      <c r="A58" s="30"/>
      <c r="B58" s="34">
        <v>3</v>
      </c>
      <c r="C58" s="450"/>
      <c r="D58" s="595" t="s">
        <v>86</v>
      </c>
      <c r="E58" s="490">
        <v>1</v>
      </c>
      <c r="F58" s="467">
        <v>0</v>
      </c>
      <c r="G58" s="467">
        <v>0</v>
      </c>
      <c r="H58" s="467">
        <v>0</v>
      </c>
      <c r="I58" s="465">
        <f t="shared" si="27"/>
        <v>1</v>
      </c>
      <c r="J58" s="490">
        <v>1</v>
      </c>
      <c r="K58" s="466">
        <f t="shared" si="28"/>
        <v>100</v>
      </c>
      <c r="L58" s="467">
        <v>0</v>
      </c>
      <c r="M58" s="466" t="e">
        <f t="shared" si="29"/>
        <v>#DIV/0!</v>
      </c>
      <c r="N58" s="467">
        <v>0</v>
      </c>
      <c r="O58" s="466" t="e">
        <f t="shared" si="30"/>
        <v>#DIV/0!</v>
      </c>
      <c r="P58" s="467">
        <v>0</v>
      </c>
      <c r="Q58" s="467" t="e">
        <f t="shared" si="31"/>
        <v>#DIV/0!</v>
      </c>
      <c r="R58" s="465">
        <f t="shared" si="32"/>
        <v>1</v>
      </c>
      <c r="S58" s="466">
        <f t="shared" ref="S58:S62" si="33">R58/I58*100</f>
        <v>100</v>
      </c>
    </row>
    <row r="59" spans="1:19" ht="22.5" customHeight="1" x14ac:dyDescent="0.35">
      <c r="A59" s="30"/>
      <c r="B59" s="34">
        <v>4</v>
      </c>
      <c r="C59" s="450"/>
      <c r="D59" s="595" t="s">
        <v>70</v>
      </c>
      <c r="E59" s="490">
        <v>3</v>
      </c>
      <c r="F59" s="490">
        <v>1</v>
      </c>
      <c r="G59" s="467">
        <v>0</v>
      </c>
      <c r="H59" s="467">
        <v>0</v>
      </c>
      <c r="I59" s="465">
        <f t="shared" si="27"/>
        <v>4</v>
      </c>
      <c r="J59" s="490">
        <v>3</v>
      </c>
      <c r="K59" s="466">
        <f t="shared" si="28"/>
        <v>100</v>
      </c>
      <c r="L59" s="490">
        <v>1</v>
      </c>
      <c r="M59" s="466">
        <f t="shared" si="29"/>
        <v>100</v>
      </c>
      <c r="N59" s="467">
        <v>0</v>
      </c>
      <c r="O59" s="466" t="e">
        <f t="shared" si="30"/>
        <v>#DIV/0!</v>
      </c>
      <c r="P59" s="467">
        <v>0</v>
      </c>
      <c r="Q59" s="467" t="e">
        <f t="shared" si="31"/>
        <v>#DIV/0!</v>
      </c>
      <c r="R59" s="465">
        <f t="shared" si="32"/>
        <v>4</v>
      </c>
      <c r="S59" s="466">
        <f t="shared" si="33"/>
        <v>100</v>
      </c>
    </row>
    <row r="60" spans="1:19" ht="22.5" customHeight="1" x14ac:dyDescent="0.35">
      <c r="A60" s="30"/>
      <c r="B60" s="34">
        <v>5</v>
      </c>
      <c r="C60" s="450"/>
      <c r="D60" s="595" t="s">
        <v>87</v>
      </c>
      <c r="E60" s="490">
        <v>1</v>
      </c>
      <c r="F60" s="467">
        <v>0</v>
      </c>
      <c r="G60" s="467">
        <v>0</v>
      </c>
      <c r="H60" s="467">
        <v>0</v>
      </c>
      <c r="I60" s="465">
        <f t="shared" si="27"/>
        <v>1</v>
      </c>
      <c r="J60" s="490">
        <v>1</v>
      </c>
      <c r="K60" s="466">
        <f t="shared" si="28"/>
        <v>100</v>
      </c>
      <c r="L60" s="467">
        <v>0</v>
      </c>
      <c r="M60" s="466" t="e">
        <f t="shared" si="29"/>
        <v>#DIV/0!</v>
      </c>
      <c r="N60" s="467">
        <v>0</v>
      </c>
      <c r="O60" s="466" t="e">
        <f t="shared" si="30"/>
        <v>#DIV/0!</v>
      </c>
      <c r="P60" s="467">
        <v>0</v>
      </c>
      <c r="Q60" s="467" t="e">
        <f t="shared" si="31"/>
        <v>#DIV/0!</v>
      </c>
      <c r="R60" s="465">
        <f t="shared" si="32"/>
        <v>1</v>
      </c>
      <c r="S60" s="466">
        <f t="shared" si="33"/>
        <v>100</v>
      </c>
    </row>
    <row r="61" spans="1:19" ht="22.5" customHeight="1" x14ac:dyDescent="0.35">
      <c r="A61" s="30"/>
      <c r="B61" s="34">
        <v>6</v>
      </c>
      <c r="C61" s="450"/>
      <c r="D61" s="595" t="s">
        <v>88</v>
      </c>
      <c r="E61" s="490">
        <v>3</v>
      </c>
      <c r="F61" s="490">
        <v>1</v>
      </c>
      <c r="G61" s="467">
        <v>0</v>
      </c>
      <c r="H61" s="467">
        <v>0</v>
      </c>
      <c r="I61" s="465">
        <f t="shared" si="27"/>
        <v>4</v>
      </c>
      <c r="J61" s="490">
        <v>3</v>
      </c>
      <c r="K61" s="466">
        <f t="shared" si="28"/>
        <v>100</v>
      </c>
      <c r="L61" s="490">
        <v>1</v>
      </c>
      <c r="M61" s="466">
        <f t="shared" si="29"/>
        <v>100</v>
      </c>
      <c r="N61" s="467">
        <v>0</v>
      </c>
      <c r="O61" s="466" t="e">
        <f t="shared" si="30"/>
        <v>#DIV/0!</v>
      </c>
      <c r="P61" s="467">
        <v>0</v>
      </c>
      <c r="Q61" s="467" t="e">
        <f t="shared" si="31"/>
        <v>#DIV/0!</v>
      </c>
      <c r="R61" s="465">
        <f t="shared" si="32"/>
        <v>4</v>
      </c>
      <c r="S61" s="466">
        <f t="shared" si="33"/>
        <v>100</v>
      </c>
    </row>
    <row r="62" spans="1:19" ht="22.5" customHeight="1" x14ac:dyDescent="0.35">
      <c r="A62" s="30"/>
      <c r="B62" s="54">
        <v>7</v>
      </c>
      <c r="C62" s="587"/>
      <c r="D62" s="595" t="s">
        <v>89</v>
      </c>
      <c r="E62" s="490">
        <v>1</v>
      </c>
      <c r="F62" s="490">
        <v>0</v>
      </c>
      <c r="G62" s="467">
        <v>0</v>
      </c>
      <c r="H62" s="467">
        <v>0</v>
      </c>
      <c r="I62" s="465">
        <f t="shared" si="27"/>
        <v>1</v>
      </c>
      <c r="J62" s="490">
        <v>1</v>
      </c>
      <c r="K62" s="466">
        <f t="shared" si="28"/>
        <v>100</v>
      </c>
      <c r="L62" s="490">
        <v>0</v>
      </c>
      <c r="M62" s="466" t="e">
        <f t="shared" si="29"/>
        <v>#DIV/0!</v>
      </c>
      <c r="N62" s="467">
        <v>0</v>
      </c>
      <c r="O62" s="466" t="e">
        <f t="shared" si="30"/>
        <v>#DIV/0!</v>
      </c>
      <c r="P62" s="467">
        <v>0</v>
      </c>
      <c r="Q62" s="467" t="e">
        <f t="shared" si="31"/>
        <v>#DIV/0!</v>
      </c>
      <c r="R62" s="465">
        <f t="shared" si="32"/>
        <v>1</v>
      </c>
      <c r="S62" s="466">
        <f t="shared" si="33"/>
        <v>100</v>
      </c>
    </row>
    <row r="63" spans="1:19" ht="22.5" customHeight="1" x14ac:dyDescent="0.35">
      <c r="A63" s="30"/>
      <c r="B63" s="34"/>
      <c r="C63" s="588"/>
      <c r="D63" s="125" t="s">
        <v>191</v>
      </c>
      <c r="E63" s="400">
        <f>SUM(E56:E62)</f>
        <v>12</v>
      </c>
      <c r="F63" s="400">
        <f t="shared" ref="F63:J63" si="34">SUM(F56:F62)</f>
        <v>3</v>
      </c>
      <c r="G63" s="400">
        <f t="shared" si="34"/>
        <v>1</v>
      </c>
      <c r="H63" s="400">
        <f t="shared" si="34"/>
        <v>0</v>
      </c>
      <c r="I63" s="400">
        <f t="shared" si="34"/>
        <v>16</v>
      </c>
      <c r="J63" s="400">
        <f t="shared" si="34"/>
        <v>12</v>
      </c>
      <c r="K63" s="426">
        <f>J63/E63*100</f>
        <v>100</v>
      </c>
      <c r="L63" s="400">
        <f>SUM(L56:L62)</f>
        <v>3</v>
      </c>
      <c r="M63" s="159">
        <f>L63/F63*100</f>
        <v>100</v>
      </c>
      <c r="N63" s="159">
        <f>SUM(N56:N62)</f>
        <v>1</v>
      </c>
      <c r="O63" s="159">
        <f>N63/F63*100</f>
        <v>33.333333333333329</v>
      </c>
      <c r="P63" s="159">
        <f>SUM(P56:P62)</f>
        <v>0</v>
      </c>
      <c r="Q63" s="159" t="e">
        <f>P63/H63*100</f>
        <v>#DIV/0!</v>
      </c>
      <c r="R63" s="493">
        <f>SUM(R56:R62)</f>
        <v>16</v>
      </c>
      <c r="S63" s="426">
        <f>R63/I63*100</f>
        <v>100</v>
      </c>
    </row>
    <row r="64" spans="1:19" ht="22.5" customHeight="1" x14ac:dyDescent="0.35">
      <c r="A64" s="50">
        <v>5</v>
      </c>
      <c r="B64" s="33">
        <v>1</v>
      </c>
      <c r="C64" s="569" t="s">
        <v>77</v>
      </c>
      <c r="D64" s="558" t="s">
        <v>91</v>
      </c>
      <c r="E64" s="490">
        <v>6</v>
      </c>
      <c r="F64" s="465">
        <v>3</v>
      </c>
      <c r="G64" s="465">
        <v>1</v>
      </c>
      <c r="H64" s="465">
        <v>1</v>
      </c>
      <c r="I64" s="465">
        <f>SUM(E64:H64)</f>
        <v>11</v>
      </c>
      <c r="J64" s="490">
        <f>E64/2</f>
        <v>3</v>
      </c>
      <c r="K64" s="466">
        <f>J64/E64*100</f>
        <v>50</v>
      </c>
      <c r="L64" s="465">
        <v>3</v>
      </c>
      <c r="M64" s="466">
        <f>L64/F64*100</f>
        <v>100</v>
      </c>
      <c r="N64" s="465">
        <v>1</v>
      </c>
      <c r="O64" s="466">
        <f>N64/G64*100</f>
        <v>100</v>
      </c>
      <c r="P64" s="465">
        <v>1</v>
      </c>
      <c r="Q64" s="466">
        <f>P64/H64*100</f>
        <v>100</v>
      </c>
      <c r="R64" s="465">
        <f>SUM(E64+F64+G64+H64)</f>
        <v>11</v>
      </c>
      <c r="S64" s="466">
        <f>R64/I64*100</f>
        <v>100</v>
      </c>
    </row>
    <row r="65" spans="1:19" ht="22.5" customHeight="1" x14ac:dyDescent="0.35">
      <c r="A65" s="36"/>
      <c r="B65" s="35">
        <v>2</v>
      </c>
      <c r="C65" s="450"/>
      <c r="D65" s="558" t="s">
        <v>92</v>
      </c>
      <c r="E65" s="490">
        <v>2</v>
      </c>
      <c r="F65" s="466">
        <v>1</v>
      </c>
      <c r="G65" s="467">
        <v>0</v>
      </c>
      <c r="H65" s="465">
        <v>0</v>
      </c>
      <c r="I65" s="465">
        <f t="shared" ref="I65:I74" si="35">SUM(E65:H65)</f>
        <v>3</v>
      </c>
      <c r="J65" s="490">
        <v>1</v>
      </c>
      <c r="K65" s="466">
        <f t="shared" ref="K65:K73" si="36">J65/E65*100</f>
        <v>50</v>
      </c>
      <c r="L65" s="466">
        <v>1</v>
      </c>
      <c r="M65" s="466">
        <f t="shared" ref="M65" si="37">L65/F65*100</f>
        <v>100</v>
      </c>
      <c r="N65" s="467">
        <v>0</v>
      </c>
      <c r="O65" s="590" t="s">
        <v>102</v>
      </c>
      <c r="P65" s="467">
        <v>0</v>
      </c>
      <c r="Q65" s="590" t="s">
        <v>102</v>
      </c>
      <c r="R65" s="465">
        <f t="shared" ref="R65:R74" si="38">SUM(E65+F65+G65+H65)</f>
        <v>3</v>
      </c>
      <c r="S65" s="466">
        <f t="shared" ref="S65:S73" si="39">R65/I65*100</f>
        <v>100</v>
      </c>
    </row>
    <row r="66" spans="1:19" ht="22.5" customHeight="1" x14ac:dyDescent="0.35">
      <c r="A66" s="36"/>
      <c r="B66" s="35">
        <v>3</v>
      </c>
      <c r="C66" s="450"/>
      <c r="D66" s="558" t="s">
        <v>93</v>
      </c>
      <c r="E66" s="490">
        <v>2</v>
      </c>
      <c r="F66" s="466">
        <v>0</v>
      </c>
      <c r="G66" s="467">
        <v>0</v>
      </c>
      <c r="H66" s="465">
        <v>0</v>
      </c>
      <c r="I66" s="465">
        <f t="shared" si="35"/>
        <v>2</v>
      </c>
      <c r="J66" s="490">
        <v>2</v>
      </c>
      <c r="K66" s="466">
        <f t="shared" si="36"/>
        <v>100</v>
      </c>
      <c r="L66" s="466">
        <v>0</v>
      </c>
      <c r="M66" s="590" t="s">
        <v>102</v>
      </c>
      <c r="N66" s="467">
        <v>0</v>
      </c>
      <c r="O66" s="590" t="s">
        <v>102</v>
      </c>
      <c r="P66" s="467">
        <v>0</v>
      </c>
      <c r="Q66" s="590" t="s">
        <v>102</v>
      </c>
      <c r="R66" s="465">
        <f t="shared" si="38"/>
        <v>2</v>
      </c>
      <c r="S66" s="466">
        <f t="shared" si="39"/>
        <v>100</v>
      </c>
    </row>
    <row r="67" spans="1:19" ht="22.5" customHeight="1" x14ac:dyDescent="0.35">
      <c r="A67" s="36"/>
      <c r="B67" s="35">
        <v>4</v>
      </c>
      <c r="C67" s="450"/>
      <c r="D67" s="558" t="s">
        <v>94</v>
      </c>
      <c r="E67" s="490">
        <v>1</v>
      </c>
      <c r="F67" s="466">
        <v>0</v>
      </c>
      <c r="G67" s="467">
        <v>0</v>
      </c>
      <c r="H67" s="465">
        <v>0</v>
      </c>
      <c r="I67" s="465">
        <f t="shared" si="35"/>
        <v>1</v>
      </c>
      <c r="J67" s="490">
        <v>1</v>
      </c>
      <c r="K67" s="466">
        <f t="shared" si="36"/>
        <v>100</v>
      </c>
      <c r="L67" s="466">
        <v>0</v>
      </c>
      <c r="M67" s="590" t="s">
        <v>102</v>
      </c>
      <c r="N67" s="467">
        <v>0</v>
      </c>
      <c r="O67" s="590" t="s">
        <v>102</v>
      </c>
      <c r="P67" s="467">
        <v>0</v>
      </c>
      <c r="Q67" s="590" t="s">
        <v>102</v>
      </c>
      <c r="R67" s="465">
        <f t="shared" si="38"/>
        <v>1</v>
      </c>
      <c r="S67" s="466">
        <f t="shared" si="39"/>
        <v>100</v>
      </c>
    </row>
    <row r="68" spans="1:19" ht="22.5" customHeight="1" x14ac:dyDescent="0.35">
      <c r="A68" s="36"/>
      <c r="B68" s="35">
        <v>5</v>
      </c>
      <c r="C68" s="450"/>
      <c r="D68" s="558" t="s">
        <v>95</v>
      </c>
      <c r="E68" s="490">
        <v>1</v>
      </c>
      <c r="F68" s="466">
        <v>0</v>
      </c>
      <c r="G68" s="467">
        <v>0</v>
      </c>
      <c r="H68" s="465">
        <v>0</v>
      </c>
      <c r="I68" s="465">
        <f t="shared" si="35"/>
        <v>1</v>
      </c>
      <c r="J68" s="490">
        <v>1</v>
      </c>
      <c r="K68" s="466">
        <f t="shared" si="36"/>
        <v>100</v>
      </c>
      <c r="L68" s="466">
        <v>0</v>
      </c>
      <c r="M68" s="590" t="s">
        <v>102</v>
      </c>
      <c r="N68" s="467">
        <v>0</v>
      </c>
      <c r="O68" s="590" t="s">
        <v>102</v>
      </c>
      <c r="P68" s="467">
        <v>0</v>
      </c>
      <c r="Q68" s="590" t="s">
        <v>102</v>
      </c>
      <c r="R68" s="465">
        <f t="shared" si="38"/>
        <v>1</v>
      </c>
      <c r="S68" s="466">
        <f t="shared" si="39"/>
        <v>100</v>
      </c>
    </row>
    <row r="69" spans="1:19" ht="22.5" customHeight="1" x14ac:dyDescent="0.35">
      <c r="A69" s="36"/>
      <c r="B69" s="35">
        <v>6</v>
      </c>
      <c r="C69" s="450"/>
      <c r="D69" s="558" t="s">
        <v>96</v>
      </c>
      <c r="E69" s="490">
        <v>1</v>
      </c>
      <c r="F69" s="466">
        <v>0</v>
      </c>
      <c r="G69" s="467">
        <v>0</v>
      </c>
      <c r="H69" s="465">
        <v>0</v>
      </c>
      <c r="I69" s="465">
        <f t="shared" si="35"/>
        <v>1</v>
      </c>
      <c r="J69" s="490">
        <v>1</v>
      </c>
      <c r="K69" s="466">
        <f t="shared" si="36"/>
        <v>100</v>
      </c>
      <c r="L69" s="466">
        <v>0</v>
      </c>
      <c r="M69" s="590" t="s">
        <v>102</v>
      </c>
      <c r="N69" s="467">
        <v>0</v>
      </c>
      <c r="O69" s="590" t="s">
        <v>102</v>
      </c>
      <c r="P69" s="467">
        <v>0</v>
      </c>
      <c r="Q69" s="590" t="s">
        <v>102</v>
      </c>
      <c r="R69" s="465">
        <f t="shared" si="38"/>
        <v>1</v>
      </c>
      <c r="S69" s="466">
        <f t="shared" si="39"/>
        <v>100</v>
      </c>
    </row>
    <row r="70" spans="1:19" ht="22.5" customHeight="1" x14ac:dyDescent="0.35">
      <c r="A70" s="36"/>
      <c r="B70" s="35">
        <v>7</v>
      </c>
      <c r="C70" s="450"/>
      <c r="D70" s="558" t="s">
        <v>97</v>
      </c>
      <c r="E70" s="490">
        <v>1</v>
      </c>
      <c r="F70" s="466">
        <v>0</v>
      </c>
      <c r="G70" s="467">
        <v>0</v>
      </c>
      <c r="H70" s="465">
        <v>0</v>
      </c>
      <c r="I70" s="465">
        <f t="shared" si="35"/>
        <v>1</v>
      </c>
      <c r="J70" s="490">
        <v>1</v>
      </c>
      <c r="K70" s="466">
        <f t="shared" si="36"/>
        <v>100</v>
      </c>
      <c r="L70" s="466">
        <v>0</v>
      </c>
      <c r="M70" s="590" t="s">
        <v>102</v>
      </c>
      <c r="N70" s="467">
        <v>0</v>
      </c>
      <c r="O70" s="590" t="s">
        <v>102</v>
      </c>
      <c r="P70" s="467">
        <v>0</v>
      </c>
      <c r="Q70" s="590" t="s">
        <v>102</v>
      </c>
      <c r="R70" s="465">
        <f t="shared" si="38"/>
        <v>1</v>
      </c>
      <c r="S70" s="466">
        <f t="shared" si="39"/>
        <v>100</v>
      </c>
    </row>
    <row r="71" spans="1:19" ht="22.5" customHeight="1" x14ac:dyDescent="0.35">
      <c r="A71" s="36"/>
      <c r="B71" s="35">
        <v>8</v>
      </c>
      <c r="C71" s="450"/>
      <c r="D71" s="558" t="s">
        <v>98</v>
      </c>
      <c r="E71" s="490">
        <v>2</v>
      </c>
      <c r="F71" s="466">
        <v>0</v>
      </c>
      <c r="G71" s="467">
        <v>0</v>
      </c>
      <c r="H71" s="465">
        <v>0</v>
      </c>
      <c r="I71" s="465">
        <f t="shared" si="35"/>
        <v>2</v>
      </c>
      <c r="J71" s="490">
        <v>2</v>
      </c>
      <c r="K71" s="466">
        <f t="shared" si="36"/>
        <v>100</v>
      </c>
      <c r="L71" s="466">
        <v>0</v>
      </c>
      <c r="M71" s="590" t="s">
        <v>102</v>
      </c>
      <c r="N71" s="467">
        <v>0</v>
      </c>
      <c r="O71" s="590" t="s">
        <v>102</v>
      </c>
      <c r="P71" s="467">
        <v>0</v>
      </c>
      <c r="Q71" s="590" t="s">
        <v>102</v>
      </c>
      <c r="R71" s="465">
        <f t="shared" si="38"/>
        <v>2</v>
      </c>
      <c r="S71" s="466">
        <f t="shared" si="39"/>
        <v>100</v>
      </c>
    </row>
    <row r="72" spans="1:19" ht="22.5" customHeight="1" x14ac:dyDescent="0.35">
      <c r="A72" s="36"/>
      <c r="B72" s="35">
        <v>9</v>
      </c>
      <c r="C72" s="450"/>
      <c r="D72" s="558" t="s">
        <v>99</v>
      </c>
      <c r="E72" s="490">
        <v>1</v>
      </c>
      <c r="F72" s="466">
        <v>0</v>
      </c>
      <c r="G72" s="467">
        <v>0</v>
      </c>
      <c r="H72" s="465">
        <v>0</v>
      </c>
      <c r="I72" s="465">
        <f t="shared" si="35"/>
        <v>1</v>
      </c>
      <c r="J72" s="490">
        <v>1</v>
      </c>
      <c r="K72" s="466">
        <f t="shared" si="36"/>
        <v>100</v>
      </c>
      <c r="L72" s="466">
        <v>0</v>
      </c>
      <c r="M72" s="590" t="s">
        <v>102</v>
      </c>
      <c r="N72" s="467">
        <v>0</v>
      </c>
      <c r="O72" s="590" t="s">
        <v>102</v>
      </c>
      <c r="P72" s="467">
        <v>0</v>
      </c>
      <c r="Q72" s="590" t="s">
        <v>102</v>
      </c>
      <c r="R72" s="465">
        <f t="shared" si="38"/>
        <v>1</v>
      </c>
      <c r="S72" s="466">
        <f t="shared" si="39"/>
        <v>100</v>
      </c>
    </row>
    <row r="73" spans="1:19" ht="22.5" customHeight="1" x14ac:dyDescent="0.35">
      <c r="A73" s="36"/>
      <c r="B73" s="35">
        <v>10</v>
      </c>
      <c r="C73" s="450"/>
      <c r="D73" s="558" t="s">
        <v>100</v>
      </c>
      <c r="E73" s="490">
        <v>1</v>
      </c>
      <c r="F73" s="466">
        <v>0</v>
      </c>
      <c r="G73" s="467">
        <v>0</v>
      </c>
      <c r="H73" s="465">
        <v>0</v>
      </c>
      <c r="I73" s="465">
        <f t="shared" si="35"/>
        <v>1</v>
      </c>
      <c r="J73" s="490">
        <v>1</v>
      </c>
      <c r="K73" s="466">
        <f t="shared" si="36"/>
        <v>100</v>
      </c>
      <c r="L73" s="466">
        <v>0</v>
      </c>
      <c r="M73" s="590" t="s">
        <v>102</v>
      </c>
      <c r="N73" s="467">
        <v>0</v>
      </c>
      <c r="O73" s="590" t="s">
        <v>102</v>
      </c>
      <c r="P73" s="467">
        <v>0</v>
      </c>
      <c r="Q73" s="590" t="s">
        <v>102</v>
      </c>
      <c r="R73" s="465">
        <f t="shared" si="38"/>
        <v>1</v>
      </c>
      <c r="S73" s="466">
        <f t="shared" si="39"/>
        <v>100</v>
      </c>
    </row>
    <row r="74" spans="1:19" ht="22.5" customHeight="1" x14ac:dyDescent="0.35">
      <c r="A74" s="596"/>
      <c r="B74" s="55">
        <v>11</v>
      </c>
      <c r="C74" s="587"/>
      <c r="D74" s="558" t="s">
        <v>101</v>
      </c>
      <c r="E74" s="592">
        <v>0</v>
      </c>
      <c r="F74" s="466">
        <v>0</v>
      </c>
      <c r="G74" s="467">
        <v>0</v>
      </c>
      <c r="H74" s="465">
        <v>0</v>
      </c>
      <c r="I74" s="465">
        <f t="shared" si="35"/>
        <v>0</v>
      </c>
      <c r="J74" s="593" t="s">
        <v>102</v>
      </c>
      <c r="K74" s="466">
        <f>K73</f>
        <v>100</v>
      </c>
      <c r="L74" s="466">
        <v>0</v>
      </c>
      <c r="M74" s="590" t="s">
        <v>102</v>
      </c>
      <c r="N74" s="467">
        <v>0</v>
      </c>
      <c r="O74" s="590" t="s">
        <v>102</v>
      </c>
      <c r="P74" s="467">
        <v>0</v>
      </c>
      <c r="Q74" s="590" t="s">
        <v>102</v>
      </c>
      <c r="R74" s="465">
        <f t="shared" si="38"/>
        <v>0</v>
      </c>
      <c r="S74" s="466">
        <f>S73</f>
        <v>100</v>
      </c>
    </row>
    <row r="75" spans="1:19" ht="22.5" customHeight="1" x14ac:dyDescent="0.35">
      <c r="A75" s="594"/>
      <c r="B75" s="308"/>
      <c r="C75" s="586"/>
      <c r="D75" s="614" t="s">
        <v>191</v>
      </c>
      <c r="E75" s="615">
        <f>SUM(E64:E74)</f>
        <v>18</v>
      </c>
      <c r="F75" s="615">
        <f t="shared" ref="F75:J75" si="40">SUM(F64:F74)</f>
        <v>4</v>
      </c>
      <c r="G75" s="615">
        <f t="shared" si="40"/>
        <v>1</v>
      </c>
      <c r="H75" s="615">
        <f t="shared" si="40"/>
        <v>1</v>
      </c>
      <c r="I75" s="615">
        <f t="shared" si="40"/>
        <v>24</v>
      </c>
      <c r="J75" s="615">
        <f t="shared" si="40"/>
        <v>14</v>
      </c>
      <c r="K75" s="616">
        <f>J75/E75*100</f>
        <v>77.777777777777786</v>
      </c>
      <c r="L75" s="616">
        <f>SUM(L64:L74)</f>
        <v>4</v>
      </c>
      <c r="M75" s="617">
        <f>L75/F75*100</f>
        <v>100</v>
      </c>
      <c r="N75" s="618">
        <f>SUM(N64:N74)</f>
        <v>1</v>
      </c>
      <c r="O75" s="617">
        <f>N75/G75*100</f>
        <v>100</v>
      </c>
      <c r="P75" s="618">
        <f>SUM(P64:P74)</f>
        <v>1</v>
      </c>
      <c r="Q75" s="617">
        <f>P75/H75*100</f>
        <v>100</v>
      </c>
      <c r="R75" s="619">
        <f>SUM(R64:R74)</f>
        <v>24</v>
      </c>
      <c r="S75" s="616">
        <f>R75/I75*100</f>
        <v>100</v>
      </c>
    </row>
    <row r="76" spans="1:19" ht="22.5" customHeight="1" x14ac:dyDescent="0.35">
      <c r="A76" s="50">
        <v>6</v>
      </c>
      <c r="B76" s="33">
        <v>1</v>
      </c>
      <c r="C76" s="569" t="s">
        <v>106</v>
      </c>
      <c r="D76" s="595" t="s">
        <v>107</v>
      </c>
      <c r="E76" s="469">
        <v>2</v>
      </c>
      <c r="F76" s="469">
        <v>1</v>
      </c>
      <c r="G76" s="469">
        <v>1</v>
      </c>
      <c r="H76" s="469">
        <v>0</v>
      </c>
      <c r="I76" s="465">
        <f>SUM(E76:H76)</f>
        <v>4</v>
      </c>
      <c r="J76" s="465">
        <v>2</v>
      </c>
      <c r="K76" s="466">
        <f>J76/E76*100</f>
        <v>100</v>
      </c>
      <c r="L76" s="465">
        <v>1</v>
      </c>
      <c r="M76" s="466">
        <f>L76/F76*100</f>
        <v>100</v>
      </c>
      <c r="N76" s="465">
        <v>1</v>
      </c>
      <c r="O76" s="466">
        <f>N76/G76*100</f>
        <v>100</v>
      </c>
      <c r="P76" s="465">
        <v>0</v>
      </c>
      <c r="Q76" s="466" t="e">
        <f>P76/H76*100</f>
        <v>#DIV/0!</v>
      </c>
      <c r="R76" s="465">
        <f>J76+L76+N76+P76</f>
        <v>4</v>
      </c>
      <c r="S76" s="466">
        <f>R76/I76*100</f>
        <v>100</v>
      </c>
    </row>
    <row r="77" spans="1:19" ht="22.5" customHeight="1" x14ac:dyDescent="0.35">
      <c r="A77" s="36"/>
      <c r="B77" s="35">
        <v>2</v>
      </c>
      <c r="C77" s="450"/>
      <c r="D77" s="595" t="s">
        <v>108</v>
      </c>
      <c r="E77" s="620">
        <v>2</v>
      </c>
      <c r="F77" s="620">
        <v>0</v>
      </c>
      <c r="G77" s="621">
        <v>0</v>
      </c>
      <c r="H77" s="620">
        <v>0</v>
      </c>
      <c r="I77" s="465">
        <f t="shared" ref="I77:I87" si="41">SUM(E77:H77)</f>
        <v>2</v>
      </c>
      <c r="J77" s="466">
        <v>2</v>
      </c>
      <c r="K77" s="466">
        <f t="shared" ref="K77:K87" si="42">J77/E77*100</f>
        <v>100</v>
      </c>
      <c r="L77" s="466">
        <v>0</v>
      </c>
      <c r="M77" s="466" t="e">
        <f t="shared" ref="M77:M87" si="43">L77/F77*100</f>
        <v>#DIV/0!</v>
      </c>
      <c r="N77" s="467">
        <v>0</v>
      </c>
      <c r="O77" s="466" t="e">
        <f t="shared" ref="O77:O87" si="44">N77/G77*100</f>
        <v>#DIV/0!</v>
      </c>
      <c r="P77" s="467">
        <v>0</v>
      </c>
      <c r="Q77" s="466" t="e">
        <f t="shared" ref="Q77:Q87" si="45">P77/H77*100</f>
        <v>#DIV/0!</v>
      </c>
      <c r="R77" s="465">
        <f t="shared" ref="R77:R87" si="46">J77+L77+N77+P77</f>
        <v>2</v>
      </c>
      <c r="S77" s="466">
        <f t="shared" ref="S77:S87" si="47">R77/I77*100</f>
        <v>100</v>
      </c>
    </row>
    <row r="78" spans="1:19" ht="22.5" customHeight="1" x14ac:dyDescent="0.35">
      <c r="A78" s="36"/>
      <c r="B78" s="35">
        <v>3</v>
      </c>
      <c r="C78" s="450"/>
      <c r="D78" s="595" t="s">
        <v>109</v>
      </c>
      <c r="E78" s="620">
        <v>1</v>
      </c>
      <c r="F78" s="620">
        <v>1</v>
      </c>
      <c r="G78" s="621">
        <v>0</v>
      </c>
      <c r="H78" s="620">
        <v>0</v>
      </c>
      <c r="I78" s="465">
        <f t="shared" si="41"/>
        <v>2</v>
      </c>
      <c r="J78" s="466">
        <v>1</v>
      </c>
      <c r="K78" s="466">
        <f t="shared" si="42"/>
        <v>100</v>
      </c>
      <c r="L78" s="466">
        <v>1</v>
      </c>
      <c r="M78" s="466">
        <f t="shared" si="43"/>
        <v>100</v>
      </c>
      <c r="N78" s="467">
        <v>0</v>
      </c>
      <c r="O78" s="466" t="e">
        <f t="shared" si="44"/>
        <v>#DIV/0!</v>
      </c>
      <c r="P78" s="467">
        <v>0</v>
      </c>
      <c r="Q78" s="466" t="e">
        <f t="shared" si="45"/>
        <v>#DIV/0!</v>
      </c>
      <c r="R78" s="465">
        <f t="shared" si="46"/>
        <v>2</v>
      </c>
      <c r="S78" s="466">
        <f t="shared" si="47"/>
        <v>100</v>
      </c>
    </row>
    <row r="79" spans="1:19" ht="22.5" customHeight="1" x14ac:dyDescent="0.35">
      <c r="A79" s="36"/>
      <c r="B79" s="35">
        <v>4</v>
      </c>
      <c r="C79" s="450"/>
      <c r="D79" s="595" t="s">
        <v>110</v>
      </c>
      <c r="E79" s="620">
        <v>2</v>
      </c>
      <c r="F79" s="620">
        <v>1</v>
      </c>
      <c r="G79" s="621">
        <v>0</v>
      </c>
      <c r="H79" s="620">
        <v>0</v>
      </c>
      <c r="I79" s="465">
        <f t="shared" si="41"/>
        <v>3</v>
      </c>
      <c r="J79" s="466">
        <v>2</v>
      </c>
      <c r="K79" s="466">
        <f t="shared" si="42"/>
        <v>100</v>
      </c>
      <c r="L79" s="466">
        <v>1</v>
      </c>
      <c r="M79" s="466">
        <f t="shared" si="43"/>
        <v>100</v>
      </c>
      <c r="N79" s="467">
        <v>0</v>
      </c>
      <c r="O79" s="466" t="e">
        <f t="shared" si="44"/>
        <v>#DIV/0!</v>
      </c>
      <c r="P79" s="467">
        <v>0</v>
      </c>
      <c r="Q79" s="466" t="e">
        <f t="shared" si="45"/>
        <v>#DIV/0!</v>
      </c>
      <c r="R79" s="465">
        <f t="shared" si="46"/>
        <v>3</v>
      </c>
      <c r="S79" s="466">
        <f t="shared" si="47"/>
        <v>100</v>
      </c>
    </row>
    <row r="80" spans="1:19" ht="22.5" customHeight="1" x14ac:dyDescent="0.35">
      <c r="A80" s="36"/>
      <c r="B80" s="35">
        <v>5</v>
      </c>
      <c r="C80" s="450"/>
      <c r="D80" s="595" t="s">
        <v>111</v>
      </c>
      <c r="E80" s="620">
        <v>1</v>
      </c>
      <c r="F80" s="620">
        <v>0</v>
      </c>
      <c r="G80" s="621">
        <v>0</v>
      </c>
      <c r="H80" s="620">
        <v>0</v>
      </c>
      <c r="I80" s="465">
        <f t="shared" si="41"/>
        <v>1</v>
      </c>
      <c r="J80" s="466">
        <v>1</v>
      </c>
      <c r="K80" s="466">
        <f t="shared" si="42"/>
        <v>100</v>
      </c>
      <c r="L80" s="466">
        <v>0</v>
      </c>
      <c r="M80" s="466" t="e">
        <f t="shared" si="43"/>
        <v>#DIV/0!</v>
      </c>
      <c r="N80" s="467">
        <v>0</v>
      </c>
      <c r="O80" s="466" t="e">
        <f t="shared" si="44"/>
        <v>#DIV/0!</v>
      </c>
      <c r="P80" s="467">
        <v>0</v>
      </c>
      <c r="Q80" s="466" t="e">
        <f t="shared" si="45"/>
        <v>#DIV/0!</v>
      </c>
      <c r="R80" s="465">
        <f t="shared" si="46"/>
        <v>1</v>
      </c>
      <c r="S80" s="466">
        <f t="shared" si="47"/>
        <v>100</v>
      </c>
    </row>
    <row r="81" spans="1:19" ht="22.5" customHeight="1" x14ac:dyDescent="0.35">
      <c r="A81" s="36"/>
      <c r="B81" s="35">
        <v>6</v>
      </c>
      <c r="C81" s="450"/>
      <c r="D81" s="595" t="s">
        <v>112</v>
      </c>
      <c r="E81" s="620">
        <v>1</v>
      </c>
      <c r="F81" s="620">
        <v>0</v>
      </c>
      <c r="G81" s="621">
        <v>0</v>
      </c>
      <c r="H81" s="620">
        <v>0</v>
      </c>
      <c r="I81" s="465">
        <f t="shared" si="41"/>
        <v>1</v>
      </c>
      <c r="J81" s="466">
        <v>1</v>
      </c>
      <c r="K81" s="466">
        <f t="shared" si="42"/>
        <v>100</v>
      </c>
      <c r="L81" s="466">
        <v>0</v>
      </c>
      <c r="M81" s="466" t="e">
        <f t="shared" si="43"/>
        <v>#DIV/0!</v>
      </c>
      <c r="N81" s="467">
        <v>0</v>
      </c>
      <c r="O81" s="466" t="e">
        <f t="shared" si="44"/>
        <v>#DIV/0!</v>
      </c>
      <c r="P81" s="467">
        <v>0</v>
      </c>
      <c r="Q81" s="466" t="e">
        <f t="shared" si="45"/>
        <v>#DIV/0!</v>
      </c>
      <c r="R81" s="465">
        <f t="shared" si="46"/>
        <v>1</v>
      </c>
      <c r="S81" s="466">
        <f t="shared" si="47"/>
        <v>100</v>
      </c>
    </row>
    <row r="82" spans="1:19" ht="22.5" customHeight="1" x14ac:dyDescent="0.35">
      <c r="A82" s="36"/>
      <c r="B82" s="35">
        <v>7</v>
      </c>
      <c r="C82" s="450"/>
      <c r="D82" s="595" t="s">
        <v>113</v>
      </c>
      <c r="E82" s="620">
        <v>1</v>
      </c>
      <c r="F82" s="620">
        <v>0</v>
      </c>
      <c r="G82" s="621">
        <v>0</v>
      </c>
      <c r="H82" s="620">
        <v>0</v>
      </c>
      <c r="I82" s="465">
        <f t="shared" si="41"/>
        <v>1</v>
      </c>
      <c r="J82" s="466">
        <v>1</v>
      </c>
      <c r="K82" s="466">
        <f t="shared" si="42"/>
        <v>100</v>
      </c>
      <c r="L82" s="466">
        <v>0</v>
      </c>
      <c r="M82" s="466" t="e">
        <f t="shared" si="43"/>
        <v>#DIV/0!</v>
      </c>
      <c r="N82" s="467">
        <v>0</v>
      </c>
      <c r="O82" s="466" t="e">
        <f t="shared" si="44"/>
        <v>#DIV/0!</v>
      </c>
      <c r="P82" s="467">
        <v>0</v>
      </c>
      <c r="Q82" s="466" t="e">
        <f t="shared" si="45"/>
        <v>#DIV/0!</v>
      </c>
      <c r="R82" s="465">
        <f t="shared" si="46"/>
        <v>1</v>
      </c>
      <c r="S82" s="466">
        <f t="shared" si="47"/>
        <v>100</v>
      </c>
    </row>
    <row r="83" spans="1:19" ht="22.5" customHeight="1" x14ac:dyDescent="0.35">
      <c r="A83" s="36"/>
      <c r="B83" s="35">
        <v>8</v>
      </c>
      <c r="C83" s="450"/>
      <c r="D83" s="595" t="s">
        <v>114</v>
      </c>
      <c r="E83" s="620">
        <v>0</v>
      </c>
      <c r="F83" s="620">
        <v>0</v>
      </c>
      <c r="G83" s="621">
        <v>0</v>
      </c>
      <c r="H83" s="620">
        <v>0</v>
      </c>
      <c r="I83" s="465">
        <f t="shared" si="41"/>
        <v>0</v>
      </c>
      <c r="J83" s="466">
        <v>0</v>
      </c>
      <c r="K83" s="466" t="e">
        <f t="shared" si="42"/>
        <v>#DIV/0!</v>
      </c>
      <c r="L83" s="466">
        <v>0</v>
      </c>
      <c r="M83" s="466" t="e">
        <f t="shared" si="43"/>
        <v>#DIV/0!</v>
      </c>
      <c r="N83" s="467">
        <v>0</v>
      </c>
      <c r="O83" s="466" t="e">
        <f t="shared" si="44"/>
        <v>#DIV/0!</v>
      </c>
      <c r="P83" s="467">
        <v>0</v>
      </c>
      <c r="Q83" s="466" t="e">
        <f t="shared" si="45"/>
        <v>#DIV/0!</v>
      </c>
      <c r="R83" s="465">
        <f t="shared" si="46"/>
        <v>0</v>
      </c>
      <c r="S83" s="466" t="e">
        <f t="shared" si="47"/>
        <v>#DIV/0!</v>
      </c>
    </row>
    <row r="84" spans="1:19" ht="22.5" customHeight="1" x14ac:dyDescent="0.35">
      <c r="A84" s="36"/>
      <c r="B84" s="35">
        <v>9</v>
      </c>
      <c r="C84" s="450"/>
      <c r="D84" s="595" t="s">
        <v>115</v>
      </c>
      <c r="E84" s="620">
        <v>1</v>
      </c>
      <c r="F84" s="620">
        <v>0</v>
      </c>
      <c r="G84" s="621">
        <v>0</v>
      </c>
      <c r="H84" s="620">
        <v>0</v>
      </c>
      <c r="I84" s="465">
        <f t="shared" si="41"/>
        <v>1</v>
      </c>
      <c r="J84" s="466">
        <v>1</v>
      </c>
      <c r="K84" s="466">
        <f t="shared" si="42"/>
        <v>100</v>
      </c>
      <c r="L84" s="466">
        <v>0</v>
      </c>
      <c r="M84" s="466" t="e">
        <f t="shared" si="43"/>
        <v>#DIV/0!</v>
      </c>
      <c r="N84" s="467">
        <v>0</v>
      </c>
      <c r="O84" s="466" t="e">
        <f t="shared" si="44"/>
        <v>#DIV/0!</v>
      </c>
      <c r="P84" s="467">
        <v>0</v>
      </c>
      <c r="Q84" s="466" t="e">
        <f t="shared" si="45"/>
        <v>#DIV/0!</v>
      </c>
      <c r="R84" s="465">
        <f t="shared" si="46"/>
        <v>1</v>
      </c>
      <c r="S84" s="466">
        <f t="shared" si="47"/>
        <v>100</v>
      </c>
    </row>
    <row r="85" spans="1:19" ht="22.5" customHeight="1" x14ac:dyDescent="0.35">
      <c r="A85" s="36"/>
      <c r="B85" s="35">
        <v>10</v>
      </c>
      <c r="C85" s="450"/>
      <c r="D85" s="595" t="s">
        <v>116</v>
      </c>
      <c r="E85" s="620">
        <v>1</v>
      </c>
      <c r="F85" s="620">
        <v>0</v>
      </c>
      <c r="G85" s="621">
        <v>0</v>
      </c>
      <c r="H85" s="620">
        <v>0</v>
      </c>
      <c r="I85" s="465">
        <f t="shared" si="41"/>
        <v>1</v>
      </c>
      <c r="J85" s="466">
        <v>1</v>
      </c>
      <c r="K85" s="466">
        <f t="shared" si="42"/>
        <v>100</v>
      </c>
      <c r="L85" s="466">
        <v>0</v>
      </c>
      <c r="M85" s="466" t="e">
        <f t="shared" si="43"/>
        <v>#DIV/0!</v>
      </c>
      <c r="N85" s="467">
        <v>0</v>
      </c>
      <c r="O85" s="466" t="e">
        <f t="shared" si="44"/>
        <v>#DIV/0!</v>
      </c>
      <c r="P85" s="467">
        <v>0</v>
      </c>
      <c r="Q85" s="466" t="e">
        <f t="shared" si="45"/>
        <v>#DIV/0!</v>
      </c>
      <c r="R85" s="465">
        <f t="shared" si="46"/>
        <v>1</v>
      </c>
      <c r="S85" s="466">
        <f t="shared" si="47"/>
        <v>100</v>
      </c>
    </row>
    <row r="86" spans="1:19" ht="22.5" customHeight="1" x14ac:dyDescent="0.35">
      <c r="A86" s="36"/>
      <c r="B86" s="35">
        <v>11</v>
      </c>
      <c r="C86" s="450"/>
      <c r="D86" s="595" t="s">
        <v>117</v>
      </c>
      <c r="E86" s="620">
        <v>1</v>
      </c>
      <c r="F86" s="620">
        <v>0</v>
      </c>
      <c r="G86" s="621">
        <v>0</v>
      </c>
      <c r="H86" s="620">
        <v>0</v>
      </c>
      <c r="I86" s="465">
        <f t="shared" si="41"/>
        <v>1</v>
      </c>
      <c r="J86" s="466">
        <v>1</v>
      </c>
      <c r="K86" s="466">
        <f t="shared" si="42"/>
        <v>100</v>
      </c>
      <c r="L86" s="466">
        <v>0</v>
      </c>
      <c r="M86" s="466" t="e">
        <f t="shared" si="43"/>
        <v>#DIV/0!</v>
      </c>
      <c r="N86" s="467">
        <v>0</v>
      </c>
      <c r="O86" s="466" t="e">
        <f t="shared" si="44"/>
        <v>#DIV/0!</v>
      </c>
      <c r="P86" s="467">
        <v>0</v>
      </c>
      <c r="Q86" s="466" t="e">
        <f t="shared" si="45"/>
        <v>#DIV/0!</v>
      </c>
      <c r="R86" s="465">
        <f t="shared" si="46"/>
        <v>1</v>
      </c>
      <c r="S86" s="466">
        <f t="shared" si="47"/>
        <v>100</v>
      </c>
    </row>
    <row r="87" spans="1:19" ht="22.5" customHeight="1" x14ac:dyDescent="0.35">
      <c r="A87" s="596"/>
      <c r="B87" s="55">
        <v>12</v>
      </c>
      <c r="C87" s="587"/>
      <c r="D87" s="595" t="s">
        <v>118</v>
      </c>
      <c r="E87" s="620">
        <v>1</v>
      </c>
      <c r="F87" s="620">
        <v>0</v>
      </c>
      <c r="G87" s="621">
        <v>0</v>
      </c>
      <c r="H87" s="620">
        <v>0</v>
      </c>
      <c r="I87" s="465">
        <f t="shared" si="41"/>
        <v>1</v>
      </c>
      <c r="J87" s="466">
        <v>1</v>
      </c>
      <c r="K87" s="466">
        <f t="shared" si="42"/>
        <v>100</v>
      </c>
      <c r="L87" s="466">
        <v>0</v>
      </c>
      <c r="M87" s="466" t="e">
        <f t="shared" si="43"/>
        <v>#DIV/0!</v>
      </c>
      <c r="N87" s="467">
        <v>0</v>
      </c>
      <c r="O87" s="466" t="e">
        <f t="shared" si="44"/>
        <v>#DIV/0!</v>
      </c>
      <c r="P87" s="467">
        <v>0</v>
      </c>
      <c r="Q87" s="466" t="e">
        <f t="shared" si="45"/>
        <v>#DIV/0!</v>
      </c>
      <c r="R87" s="465">
        <f t="shared" si="46"/>
        <v>1</v>
      </c>
      <c r="S87" s="466">
        <f t="shared" si="47"/>
        <v>100</v>
      </c>
    </row>
    <row r="88" spans="1:19" ht="22.5" customHeight="1" x14ac:dyDescent="0.35">
      <c r="A88" s="541"/>
      <c r="B88" s="125"/>
      <c r="C88" s="572"/>
      <c r="D88" s="125" t="s">
        <v>191</v>
      </c>
      <c r="E88" s="426">
        <f>SUM(E76:E87)</f>
        <v>14</v>
      </c>
      <c r="F88" s="426">
        <f t="shared" ref="F88:J88" si="48">SUM(F76:F87)</f>
        <v>3</v>
      </c>
      <c r="G88" s="426">
        <f t="shared" si="48"/>
        <v>1</v>
      </c>
      <c r="H88" s="426">
        <f t="shared" si="48"/>
        <v>0</v>
      </c>
      <c r="I88" s="426">
        <f t="shared" si="48"/>
        <v>18</v>
      </c>
      <c r="J88" s="426">
        <f t="shared" si="48"/>
        <v>14</v>
      </c>
      <c r="K88" s="426">
        <f>J88/E88*100</f>
        <v>100</v>
      </c>
      <c r="L88" s="426">
        <f>SUM(L76:L87)</f>
        <v>3</v>
      </c>
      <c r="M88" s="426">
        <f>L88/F88*100</f>
        <v>100</v>
      </c>
      <c r="N88" s="159">
        <f>SUM(N76:N87)</f>
        <v>1</v>
      </c>
      <c r="O88" s="426">
        <f>N88/G88*100</f>
        <v>100</v>
      </c>
      <c r="P88" s="159">
        <f>SUM(P76:P87)</f>
        <v>0</v>
      </c>
      <c r="Q88" s="426" t="e">
        <f>P88/H88*100</f>
        <v>#DIV/0!</v>
      </c>
      <c r="R88" s="159">
        <f>SUM(R76:R87)</f>
        <v>18</v>
      </c>
      <c r="S88" s="426">
        <f>R88/I88*100</f>
        <v>100</v>
      </c>
    </row>
    <row r="89" spans="1:19" ht="22.5" customHeight="1" x14ac:dyDescent="0.35">
      <c r="A89" s="36">
        <v>7</v>
      </c>
      <c r="B89" s="34">
        <v>1</v>
      </c>
      <c r="C89" s="450" t="s">
        <v>126</v>
      </c>
      <c r="D89" s="595" t="s">
        <v>230</v>
      </c>
      <c r="E89" s="490">
        <v>1</v>
      </c>
      <c r="F89" s="490">
        <v>1</v>
      </c>
      <c r="G89" s="465">
        <v>1</v>
      </c>
      <c r="H89" s="467">
        <v>0</v>
      </c>
      <c r="I89" s="465">
        <f>SUM(E89:H89)</f>
        <v>3</v>
      </c>
      <c r="J89" s="467">
        <v>0</v>
      </c>
      <c r="K89" s="467">
        <f>J89/E89*100</f>
        <v>0</v>
      </c>
      <c r="L89" s="467">
        <v>0</v>
      </c>
      <c r="M89" s="467">
        <f>L89/F89*100</f>
        <v>0</v>
      </c>
      <c r="N89" s="467">
        <v>1</v>
      </c>
      <c r="O89" s="466">
        <f>N89/G89*100</f>
        <v>100</v>
      </c>
      <c r="P89" s="467">
        <v>0</v>
      </c>
      <c r="Q89" s="467" t="e">
        <f>P89/H89*100</f>
        <v>#DIV/0!</v>
      </c>
      <c r="R89" s="467">
        <f>J89+L89+N89+P89</f>
        <v>1</v>
      </c>
      <c r="S89" s="467">
        <f>R89/I89*100</f>
        <v>33.333333333333329</v>
      </c>
    </row>
    <row r="90" spans="1:19" ht="22.5" customHeight="1" x14ac:dyDescent="0.35">
      <c r="A90" s="36"/>
      <c r="B90" s="34">
        <v>2</v>
      </c>
      <c r="C90" s="450"/>
      <c r="D90" s="595" t="s">
        <v>231</v>
      </c>
      <c r="E90" s="490">
        <v>1</v>
      </c>
      <c r="F90" s="467">
        <v>1</v>
      </c>
      <c r="G90" s="467">
        <v>0</v>
      </c>
      <c r="H90" s="467">
        <v>0</v>
      </c>
      <c r="I90" s="465">
        <f t="shared" ref="I90:I95" si="49">SUM(E90:H90)</f>
        <v>2</v>
      </c>
      <c r="J90" s="467">
        <v>0</v>
      </c>
      <c r="K90" s="467">
        <f t="shared" ref="K90:K98" si="50">J90/E90*100</f>
        <v>0</v>
      </c>
      <c r="L90" s="467">
        <v>0</v>
      </c>
      <c r="M90" s="467">
        <f t="shared" ref="M90:M98" si="51">L90/F90*100</f>
        <v>0</v>
      </c>
      <c r="N90" s="467">
        <v>0</v>
      </c>
      <c r="O90" s="466" t="e">
        <f t="shared" ref="O90:O98" si="52">N90/G90*100</f>
        <v>#DIV/0!</v>
      </c>
      <c r="P90" s="467">
        <v>0</v>
      </c>
      <c r="Q90" s="467" t="e">
        <f t="shared" ref="Q90:Q98" si="53">P90/H90*100</f>
        <v>#DIV/0!</v>
      </c>
      <c r="R90" s="467">
        <f t="shared" ref="R90:R98" si="54">J90+L90+N90+P90</f>
        <v>0</v>
      </c>
      <c r="S90" s="467">
        <f t="shared" ref="S90:S98" si="55">R90/I90*100</f>
        <v>0</v>
      </c>
    </row>
    <row r="91" spans="1:19" ht="22.5" customHeight="1" x14ac:dyDescent="0.35">
      <c r="A91" s="36"/>
      <c r="B91" s="34">
        <v>3</v>
      </c>
      <c r="C91" s="450"/>
      <c r="D91" s="595" t="s">
        <v>232</v>
      </c>
      <c r="E91" s="490">
        <v>1</v>
      </c>
      <c r="F91" s="467">
        <v>0</v>
      </c>
      <c r="G91" s="467">
        <v>0</v>
      </c>
      <c r="H91" s="467">
        <v>0</v>
      </c>
      <c r="I91" s="465">
        <f t="shared" si="49"/>
        <v>1</v>
      </c>
      <c r="J91" s="467">
        <v>0</v>
      </c>
      <c r="K91" s="467">
        <f t="shared" si="50"/>
        <v>0</v>
      </c>
      <c r="L91" s="467">
        <v>0</v>
      </c>
      <c r="M91" s="467" t="e">
        <f t="shared" si="51"/>
        <v>#DIV/0!</v>
      </c>
      <c r="N91" s="467">
        <v>0</v>
      </c>
      <c r="O91" s="466" t="e">
        <f t="shared" si="52"/>
        <v>#DIV/0!</v>
      </c>
      <c r="P91" s="467">
        <v>0</v>
      </c>
      <c r="Q91" s="467" t="e">
        <f t="shared" si="53"/>
        <v>#DIV/0!</v>
      </c>
      <c r="R91" s="467">
        <f t="shared" si="54"/>
        <v>0</v>
      </c>
      <c r="S91" s="467">
        <f t="shared" si="55"/>
        <v>0</v>
      </c>
    </row>
    <row r="92" spans="1:19" ht="22.5" customHeight="1" x14ac:dyDescent="0.35">
      <c r="A92" s="36"/>
      <c r="B92" s="34">
        <v>4</v>
      </c>
      <c r="C92" s="450"/>
      <c r="D92" s="595" t="s">
        <v>233</v>
      </c>
      <c r="E92" s="490">
        <v>1</v>
      </c>
      <c r="F92" s="490">
        <v>0</v>
      </c>
      <c r="G92" s="467">
        <v>0</v>
      </c>
      <c r="H92" s="467">
        <v>0</v>
      </c>
      <c r="I92" s="465">
        <f t="shared" si="49"/>
        <v>1</v>
      </c>
      <c r="J92" s="467">
        <v>0</v>
      </c>
      <c r="K92" s="467">
        <f t="shared" si="50"/>
        <v>0</v>
      </c>
      <c r="L92" s="467">
        <v>0</v>
      </c>
      <c r="M92" s="467" t="e">
        <f t="shared" si="51"/>
        <v>#DIV/0!</v>
      </c>
      <c r="N92" s="467">
        <v>0</v>
      </c>
      <c r="O92" s="466" t="e">
        <f t="shared" si="52"/>
        <v>#DIV/0!</v>
      </c>
      <c r="P92" s="467">
        <v>0</v>
      </c>
      <c r="Q92" s="467" t="e">
        <f t="shared" si="53"/>
        <v>#DIV/0!</v>
      </c>
      <c r="R92" s="467">
        <f t="shared" si="54"/>
        <v>0</v>
      </c>
      <c r="S92" s="467">
        <f t="shared" si="55"/>
        <v>0</v>
      </c>
    </row>
    <row r="93" spans="1:19" ht="22.5" customHeight="1" x14ac:dyDescent="0.35">
      <c r="A93" s="36"/>
      <c r="B93" s="34">
        <v>5</v>
      </c>
      <c r="C93" s="450"/>
      <c r="D93" s="595" t="s">
        <v>239</v>
      </c>
      <c r="E93" s="490">
        <v>2</v>
      </c>
      <c r="F93" s="467">
        <v>1</v>
      </c>
      <c r="G93" s="467">
        <v>0</v>
      </c>
      <c r="H93" s="467">
        <v>0</v>
      </c>
      <c r="I93" s="465">
        <f t="shared" si="49"/>
        <v>3</v>
      </c>
      <c r="J93" s="467">
        <v>0</v>
      </c>
      <c r="K93" s="467">
        <f t="shared" si="50"/>
        <v>0</v>
      </c>
      <c r="L93" s="467">
        <v>0</v>
      </c>
      <c r="M93" s="467">
        <f t="shared" si="51"/>
        <v>0</v>
      </c>
      <c r="N93" s="467">
        <v>0</v>
      </c>
      <c r="O93" s="466" t="e">
        <f t="shared" si="52"/>
        <v>#DIV/0!</v>
      </c>
      <c r="P93" s="467">
        <v>0</v>
      </c>
      <c r="Q93" s="467" t="e">
        <f t="shared" si="53"/>
        <v>#DIV/0!</v>
      </c>
      <c r="R93" s="467">
        <f t="shared" si="54"/>
        <v>0</v>
      </c>
      <c r="S93" s="467">
        <f t="shared" si="55"/>
        <v>0</v>
      </c>
    </row>
    <row r="94" spans="1:19" ht="22.5" customHeight="1" x14ac:dyDescent="0.35">
      <c r="A94" s="36"/>
      <c r="B94" s="30"/>
      <c r="C94" s="450"/>
      <c r="D94" s="595" t="s">
        <v>240</v>
      </c>
      <c r="E94" s="490">
        <v>1</v>
      </c>
      <c r="F94" s="490">
        <v>0</v>
      </c>
      <c r="G94" s="467">
        <v>0</v>
      </c>
      <c r="H94" s="467">
        <v>0</v>
      </c>
      <c r="I94" s="465">
        <f t="shared" si="49"/>
        <v>1</v>
      </c>
      <c r="J94" s="467">
        <v>0</v>
      </c>
      <c r="K94" s="467">
        <f t="shared" si="50"/>
        <v>0</v>
      </c>
      <c r="L94" s="467">
        <v>0</v>
      </c>
      <c r="M94" s="467" t="e">
        <f t="shared" si="51"/>
        <v>#DIV/0!</v>
      </c>
      <c r="N94" s="467">
        <v>0</v>
      </c>
      <c r="O94" s="466" t="e">
        <f t="shared" si="52"/>
        <v>#DIV/0!</v>
      </c>
      <c r="P94" s="467">
        <v>0</v>
      </c>
      <c r="Q94" s="467" t="e">
        <f t="shared" si="53"/>
        <v>#DIV/0!</v>
      </c>
      <c r="R94" s="467">
        <f t="shared" si="54"/>
        <v>0</v>
      </c>
      <c r="S94" s="467">
        <f t="shared" si="55"/>
        <v>0</v>
      </c>
    </row>
    <row r="95" spans="1:19" ht="22.5" customHeight="1" x14ac:dyDescent="0.35">
      <c r="A95" s="36"/>
      <c r="B95" s="34">
        <v>6</v>
      </c>
      <c r="C95" s="450"/>
      <c r="D95" s="595" t="s">
        <v>235</v>
      </c>
      <c r="E95" s="490">
        <v>1</v>
      </c>
      <c r="F95" s="490">
        <v>1</v>
      </c>
      <c r="G95" s="467">
        <v>0</v>
      </c>
      <c r="H95" s="467">
        <v>0</v>
      </c>
      <c r="I95" s="465">
        <f t="shared" si="49"/>
        <v>2</v>
      </c>
      <c r="J95" s="467">
        <v>0</v>
      </c>
      <c r="K95" s="467">
        <f t="shared" si="50"/>
        <v>0</v>
      </c>
      <c r="L95" s="467">
        <v>0</v>
      </c>
      <c r="M95" s="467">
        <f t="shared" si="51"/>
        <v>0</v>
      </c>
      <c r="N95" s="467">
        <v>0</v>
      </c>
      <c r="O95" s="466" t="e">
        <f t="shared" si="52"/>
        <v>#DIV/0!</v>
      </c>
      <c r="P95" s="467">
        <v>0</v>
      </c>
      <c r="Q95" s="467" t="e">
        <f t="shared" si="53"/>
        <v>#DIV/0!</v>
      </c>
      <c r="R95" s="467">
        <f t="shared" si="54"/>
        <v>0</v>
      </c>
      <c r="S95" s="467">
        <f t="shared" si="55"/>
        <v>0</v>
      </c>
    </row>
    <row r="96" spans="1:19" ht="22.5" customHeight="1" x14ac:dyDescent="0.35">
      <c r="A96" s="36"/>
      <c r="B96" s="34">
        <v>7</v>
      </c>
      <c r="C96" s="450"/>
      <c r="D96" s="597" t="s">
        <v>236</v>
      </c>
      <c r="E96" s="466">
        <v>0</v>
      </c>
      <c r="F96" s="466">
        <v>0</v>
      </c>
      <c r="G96" s="467">
        <v>0</v>
      </c>
      <c r="H96" s="467">
        <v>0</v>
      </c>
      <c r="I96" s="467">
        <v>0</v>
      </c>
      <c r="J96" s="467">
        <v>0</v>
      </c>
      <c r="K96" s="467" t="e">
        <f t="shared" si="50"/>
        <v>#DIV/0!</v>
      </c>
      <c r="L96" s="467">
        <v>0</v>
      </c>
      <c r="M96" s="467" t="e">
        <f t="shared" si="51"/>
        <v>#DIV/0!</v>
      </c>
      <c r="N96" s="467">
        <v>0</v>
      </c>
      <c r="O96" s="466" t="e">
        <f t="shared" si="52"/>
        <v>#DIV/0!</v>
      </c>
      <c r="P96" s="467">
        <v>0</v>
      </c>
      <c r="Q96" s="467" t="e">
        <f t="shared" si="53"/>
        <v>#DIV/0!</v>
      </c>
      <c r="R96" s="467">
        <f t="shared" si="54"/>
        <v>0</v>
      </c>
      <c r="S96" s="467" t="e">
        <f t="shared" si="55"/>
        <v>#DIV/0!</v>
      </c>
    </row>
    <row r="97" spans="1:19" ht="22.5" customHeight="1" x14ac:dyDescent="0.35">
      <c r="A97" s="36"/>
      <c r="B97" s="34">
        <v>8</v>
      </c>
      <c r="C97" s="450"/>
      <c r="D97" s="597" t="s">
        <v>237</v>
      </c>
      <c r="E97" s="466">
        <v>1</v>
      </c>
      <c r="F97" s="466">
        <v>1</v>
      </c>
      <c r="G97" s="467">
        <v>0</v>
      </c>
      <c r="H97" s="467">
        <v>0</v>
      </c>
      <c r="I97" s="467">
        <v>1</v>
      </c>
      <c r="J97" s="467">
        <v>0</v>
      </c>
      <c r="K97" s="467">
        <f t="shared" si="50"/>
        <v>0</v>
      </c>
      <c r="L97" s="467">
        <v>0</v>
      </c>
      <c r="M97" s="467">
        <f>L97/F97*100</f>
        <v>0</v>
      </c>
      <c r="N97" s="467">
        <v>0</v>
      </c>
      <c r="O97" s="466" t="e">
        <f t="shared" si="52"/>
        <v>#DIV/0!</v>
      </c>
      <c r="P97" s="467">
        <v>0</v>
      </c>
      <c r="Q97" s="467" t="e">
        <f t="shared" si="53"/>
        <v>#DIV/0!</v>
      </c>
      <c r="R97" s="467">
        <f t="shared" si="54"/>
        <v>0</v>
      </c>
      <c r="S97" s="467">
        <f t="shared" si="55"/>
        <v>0</v>
      </c>
    </row>
    <row r="98" spans="1:19" ht="22.5" customHeight="1" x14ac:dyDescent="0.35">
      <c r="A98" s="36"/>
      <c r="B98" s="34">
        <v>9</v>
      </c>
      <c r="C98" s="450"/>
      <c r="D98" s="598" t="s">
        <v>238</v>
      </c>
      <c r="E98" s="465">
        <v>1</v>
      </c>
      <c r="F98" s="465">
        <v>0</v>
      </c>
      <c r="G98" s="467">
        <v>0</v>
      </c>
      <c r="H98" s="467">
        <v>0</v>
      </c>
      <c r="I98" s="465">
        <v>1</v>
      </c>
      <c r="J98" s="467">
        <v>0</v>
      </c>
      <c r="K98" s="467">
        <f t="shared" si="50"/>
        <v>0</v>
      </c>
      <c r="L98" s="467">
        <v>0</v>
      </c>
      <c r="M98" s="467" t="e">
        <f t="shared" si="51"/>
        <v>#DIV/0!</v>
      </c>
      <c r="N98" s="467">
        <v>0</v>
      </c>
      <c r="O98" s="466" t="e">
        <f t="shared" si="52"/>
        <v>#DIV/0!</v>
      </c>
      <c r="P98" s="467">
        <v>0</v>
      </c>
      <c r="Q98" s="467" t="e">
        <f t="shared" si="53"/>
        <v>#DIV/0!</v>
      </c>
      <c r="R98" s="467">
        <f t="shared" si="54"/>
        <v>0</v>
      </c>
      <c r="S98" s="467">
        <f t="shared" si="55"/>
        <v>0</v>
      </c>
    </row>
    <row r="99" spans="1:19" ht="22.5" customHeight="1" x14ac:dyDescent="0.35">
      <c r="A99" s="541"/>
      <c r="B99" s="124"/>
      <c r="C99" s="572"/>
      <c r="D99" s="125" t="s">
        <v>225</v>
      </c>
      <c r="E99" s="400">
        <f t="shared" ref="E99:J99" si="56">SUM(E89:E98)</f>
        <v>10</v>
      </c>
      <c r="F99" s="400">
        <f t="shared" si="56"/>
        <v>5</v>
      </c>
      <c r="G99" s="400">
        <f t="shared" si="56"/>
        <v>1</v>
      </c>
      <c r="H99" s="400">
        <f t="shared" si="56"/>
        <v>0</v>
      </c>
      <c r="I99" s="400">
        <f>SUM(I89:I98)</f>
        <v>15</v>
      </c>
      <c r="J99" s="400">
        <f t="shared" si="56"/>
        <v>0</v>
      </c>
      <c r="K99" s="426">
        <f>J99/E99*100</f>
        <v>0</v>
      </c>
      <c r="L99" s="400">
        <f>SUM(L89:L98)</f>
        <v>0</v>
      </c>
      <c r="M99" s="426">
        <f>L99/F99*100</f>
        <v>0</v>
      </c>
      <c r="N99" s="159">
        <f>SUM(N89:N98)</f>
        <v>1</v>
      </c>
      <c r="O99" s="426">
        <f>N99/G99*100</f>
        <v>100</v>
      </c>
      <c r="P99" s="159">
        <f>SUM(P89:P98)</f>
        <v>0</v>
      </c>
      <c r="Q99" s="159" t="e">
        <f>P99/H99*100</f>
        <v>#DIV/0!</v>
      </c>
      <c r="R99" s="493">
        <f>SUM(R89:R98)</f>
        <v>1</v>
      </c>
      <c r="S99" s="426">
        <f>R99/I99*100</f>
        <v>6.666666666666667</v>
      </c>
    </row>
    <row r="100" spans="1:19" ht="22.5" customHeight="1" x14ac:dyDescent="0.35">
      <c r="A100" s="50">
        <v>8</v>
      </c>
      <c r="B100" s="32">
        <v>1</v>
      </c>
      <c r="C100" s="569" t="s">
        <v>127</v>
      </c>
      <c r="D100" s="595" t="s">
        <v>128</v>
      </c>
      <c r="E100" s="539">
        <v>1</v>
      </c>
      <c r="F100" s="539">
        <v>1</v>
      </c>
      <c r="G100" s="465">
        <v>1</v>
      </c>
      <c r="H100" s="467">
        <v>0</v>
      </c>
      <c r="I100" s="465">
        <v>3</v>
      </c>
      <c r="J100" s="539">
        <v>1</v>
      </c>
      <c r="K100" s="466">
        <f>J100/E100*100</f>
        <v>100</v>
      </c>
      <c r="L100" s="539">
        <v>1</v>
      </c>
      <c r="M100" s="466">
        <v>100</v>
      </c>
      <c r="N100" s="465">
        <v>1</v>
      </c>
      <c r="O100" s="466">
        <v>100</v>
      </c>
      <c r="P100" s="467">
        <v>0</v>
      </c>
      <c r="Q100" s="467" t="e">
        <v>#DIV/0!</v>
      </c>
      <c r="R100" s="465">
        <f>J100+L100+N100+P100</f>
        <v>3</v>
      </c>
      <c r="S100" s="466">
        <f>R100/I100*100</f>
        <v>100</v>
      </c>
    </row>
    <row r="101" spans="1:19" ht="22.5" customHeight="1" x14ac:dyDescent="0.35">
      <c r="A101" s="36"/>
      <c r="B101" s="34">
        <v>2</v>
      </c>
      <c r="C101" s="450"/>
      <c r="D101" s="595" t="s">
        <v>129</v>
      </c>
      <c r="E101" s="539">
        <v>1</v>
      </c>
      <c r="F101" s="467">
        <v>0</v>
      </c>
      <c r="G101" s="467">
        <v>0</v>
      </c>
      <c r="H101" s="467">
        <v>0</v>
      </c>
      <c r="I101" s="465">
        <v>1</v>
      </c>
      <c r="J101" s="539">
        <v>1</v>
      </c>
      <c r="K101" s="466">
        <f t="shared" ref="K101:K108" si="57">J101/E101*100</f>
        <v>100</v>
      </c>
      <c r="L101" s="467">
        <v>0</v>
      </c>
      <c r="M101" s="466" t="e">
        <v>#DIV/0!</v>
      </c>
      <c r="N101" s="467">
        <v>0</v>
      </c>
      <c r="O101" s="466" t="e">
        <v>#DIV/0!</v>
      </c>
      <c r="P101" s="467">
        <v>0</v>
      </c>
      <c r="Q101" s="467" t="e">
        <v>#DIV/0!</v>
      </c>
      <c r="R101" s="465">
        <f t="shared" ref="R101:R108" si="58">J101+L101+N101+P101</f>
        <v>1</v>
      </c>
      <c r="S101" s="466">
        <f t="shared" ref="S101:S108" si="59">R101/I101*100</f>
        <v>100</v>
      </c>
    </row>
    <row r="102" spans="1:19" ht="22.5" customHeight="1" x14ac:dyDescent="0.35">
      <c r="A102" s="36"/>
      <c r="B102" s="34">
        <v>3</v>
      </c>
      <c r="C102" s="450"/>
      <c r="D102" s="595" t="s">
        <v>130</v>
      </c>
      <c r="E102" s="539">
        <v>1</v>
      </c>
      <c r="F102" s="467">
        <v>0</v>
      </c>
      <c r="G102" s="467">
        <v>0</v>
      </c>
      <c r="H102" s="466">
        <v>0</v>
      </c>
      <c r="I102" s="465">
        <v>1</v>
      </c>
      <c r="J102" s="539">
        <v>1</v>
      </c>
      <c r="K102" s="466">
        <f t="shared" si="57"/>
        <v>100</v>
      </c>
      <c r="L102" s="467">
        <v>0</v>
      </c>
      <c r="M102" s="466" t="e">
        <v>#DIV/0!</v>
      </c>
      <c r="N102" s="467">
        <v>0</v>
      </c>
      <c r="O102" s="466" t="e">
        <v>#DIV/0!</v>
      </c>
      <c r="P102" s="467">
        <v>0</v>
      </c>
      <c r="Q102" s="467" t="e">
        <v>#DIV/0!</v>
      </c>
      <c r="R102" s="465">
        <f t="shared" si="58"/>
        <v>1</v>
      </c>
      <c r="S102" s="466">
        <f t="shared" si="59"/>
        <v>100</v>
      </c>
    </row>
    <row r="103" spans="1:19" ht="22.5" customHeight="1" x14ac:dyDescent="0.35">
      <c r="A103" s="36"/>
      <c r="B103" s="34">
        <v>4</v>
      </c>
      <c r="C103" s="450"/>
      <c r="D103" s="595" t="s">
        <v>131</v>
      </c>
      <c r="E103" s="539">
        <v>1</v>
      </c>
      <c r="F103" s="539">
        <v>0</v>
      </c>
      <c r="G103" s="467">
        <v>0</v>
      </c>
      <c r="H103" s="467">
        <v>0</v>
      </c>
      <c r="I103" s="465">
        <v>1</v>
      </c>
      <c r="J103" s="539">
        <v>1</v>
      </c>
      <c r="K103" s="466">
        <f t="shared" si="57"/>
        <v>100</v>
      </c>
      <c r="L103" s="539">
        <v>0</v>
      </c>
      <c r="M103" s="466" t="e">
        <v>#DIV/0!</v>
      </c>
      <c r="N103" s="467">
        <v>0</v>
      </c>
      <c r="O103" s="466" t="e">
        <v>#DIV/0!</v>
      </c>
      <c r="P103" s="467">
        <v>0</v>
      </c>
      <c r="Q103" s="467" t="e">
        <v>#DIV/0!</v>
      </c>
      <c r="R103" s="465">
        <f t="shared" si="58"/>
        <v>1</v>
      </c>
      <c r="S103" s="466">
        <f t="shared" si="59"/>
        <v>100</v>
      </c>
    </row>
    <row r="104" spans="1:19" ht="22.5" customHeight="1" x14ac:dyDescent="0.35">
      <c r="A104" s="36"/>
      <c r="B104" s="34">
        <v>5</v>
      </c>
      <c r="C104" s="450"/>
      <c r="D104" s="595" t="s">
        <v>132</v>
      </c>
      <c r="E104" s="539">
        <v>3</v>
      </c>
      <c r="F104" s="599">
        <v>1</v>
      </c>
      <c r="G104" s="467">
        <v>0</v>
      </c>
      <c r="H104" s="466">
        <v>0</v>
      </c>
      <c r="I104" s="465">
        <v>4</v>
      </c>
      <c r="J104" s="539">
        <v>3</v>
      </c>
      <c r="K104" s="466">
        <f t="shared" si="57"/>
        <v>100</v>
      </c>
      <c r="L104" s="467">
        <v>1</v>
      </c>
      <c r="M104" s="466">
        <v>100</v>
      </c>
      <c r="N104" s="467">
        <v>0</v>
      </c>
      <c r="O104" s="466" t="e">
        <v>#DIV/0!</v>
      </c>
      <c r="P104" s="467">
        <v>0</v>
      </c>
      <c r="Q104" s="467" t="e">
        <v>#DIV/0!</v>
      </c>
      <c r="R104" s="465">
        <f t="shared" si="58"/>
        <v>4</v>
      </c>
      <c r="S104" s="466">
        <f t="shared" si="59"/>
        <v>100</v>
      </c>
    </row>
    <row r="105" spans="1:19" ht="22.5" customHeight="1" x14ac:dyDescent="0.35">
      <c r="A105" s="36"/>
      <c r="B105" s="34">
        <v>6</v>
      </c>
      <c r="C105" s="450"/>
      <c r="D105" s="595" t="s">
        <v>133</v>
      </c>
      <c r="E105" s="539">
        <v>0</v>
      </c>
      <c r="F105" s="539">
        <v>1</v>
      </c>
      <c r="G105" s="467">
        <v>0</v>
      </c>
      <c r="H105" s="466">
        <v>0</v>
      </c>
      <c r="I105" s="465">
        <v>1</v>
      </c>
      <c r="J105" s="539">
        <v>0</v>
      </c>
      <c r="K105" s="466" t="e">
        <f t="shared" si="57"/>
        <v>#DIV/0!</v>
      </c>
      <c r="L105" s="539">
        <v>1</v>
      </c>
      <c r="M105" s="466">
        <v>100</v>
      </c>
      <c r="N105" s="467">
        <v>0</v>
      </c>
      <c r="O105" s="466" t="e">
        <v>#DIV/0!</v>
      </c>
      <c r="P105" s="467">
        <v>0</v>
      </c>
      <c r="Q105" s="467" t="e">
        <v>#DIV/0!</v>
      </c>
      <c r="R105" s="465">
        <f t="shared" si="58"/>
        <v>1</v>
      </c>
      <c r="S105" s="466">
        <f t="shared" si="59"/>
        <v>100</v>
      </c>
    </row>
    <row r="106" spans="1:19" ht="22.5" customHeight="1" x14ac:dyDescent="0.35">
      <c r="A106" s="36"/>
      <c r="B106" s="34">
        <v>7</v>
      </c>
      <c r="C106" s="450"/>
      <c r="D106" s="595" t="s">
        <v>134</v>
      </c>
      <c r="E106" s="539">
        <v>1</v>
      </c>
      <c r="F106" s="539">
        <v>0</v>
      </c>
      <c r="G106" s="467">
        <v>0</v>
      </c>
      <c r="H106" s="467">
        <v>0</v>
      </c>
      <c r="I106" s="465">
        <v>1</v>
      </c>
      <c r="J106" s="539">
        <v>1</v>
      </c>
      <c r="K106" s="466">
        <f t="shared" si="57"/>
        <v>100</v>
      </c>
      <c r="L106" s="467">
        <v>0</v>
      </c>
      <c r="M106" s="466" t="e">
        <v>#DIV/0!</v>
      </c>
      <c r="N106" s="467">
        <v>0</v>
      </c>
      <c r="O106" s="466" t="e">
        <v>#DIV/0!</v>
      </c>
      <c r="P106" s="467">
        <v>0</v>
      </c>
      <c r="Q106" s="467" t="e">
        <v>#DIV/0!</v>
      </c>
      <c r="R106" s="465">
        <f t="shared" si="58"/>
        <v>1</v>
      </c>
      <c r="S106" s="466">
        <f t="shared" si="59"/>
        <v>100</v>
      </c>
    </row>
    <row r="107" spans="1:19" ht="22.5" customHeight="1" x14ac:dyDescent="0.35">
      <c r="A107" s="36"/>
      <c r="B107" s="34">
        <v>8</v>
      </c>
      <c r="C107" s="450"/>
      <c r="D107" s="595" t="s">
        <v>135</v>
      </c>
      <c r="E107" s="539">
        <v>2</v>
      </c>
      <c r="F107" s="539">
        <v>1</v>
      </c>
      <c r="G107" s="467">
        <v>0</v>
      </c>
      <c r="H107" s="467">
        <v>0</v>
      </c>
      <c r="I107" s="465">
        <v>3</v>
      </c>
      <c r="J107" s="539">
        <v>2</v>
      </c>
      <c r="K107" s="466">
        <f t="shared" si="57"/>
        <v>100</v>
      </c>
      <c r="L107" s="467">
        <v>1</v>
      </c>
      <c r="M107" s="466">
        <v>100</v>
      </c>
      <c r="N107" s="467">
        <v>0</v>
      </c>
      <c r="O107" s="466" t="e">
        <v>#DIV/0!</v>
      </c>
      <c r="P107" s="467">
        <v>0</v>
      </c>
      <c r="Q107" s="467" t="e">
        <v>#DIV/0!</v>
      </c>
      <c r="R107" s="465">
        <f t="shared" si="58"/>
        <v>3</v>
      </c>
      <c r="S107" s="466">
        <f t="shared" si="59"/>
        <v>100</v>
      </c>
    </row>
    <row r="108" spans="1:19" ht="22.5" customHeight="1" x14ac:dyDescent="0.35">
      <c r="A108" s="36"/>
      <c r="B108" s="34">
        <v>9</v>
      </c>
      <c r="C108" s="450"/>
      <c r="D108" s="595" t="s">
        <v>136</v>
      </c>
      <c r="E108" s="539">
        <v>1</v>
      </c>
      <c r="F108" s="539">
        <v>0</v>
      </c>
      <c r="G108" s="467">
        <v>0</v>
      </c>
      <c r="H108" s="467">
        <v>0</v>
      </c>
      <c r="I108" s="465">
        <v>1</v>
      </c>
      <c r="J108" s="539">
        <v>1</v>
      </c>
      <c r="K108" s="466">
        <f t="shared" si="57"/>
        <v>100</v>
      </c>
      <c r="L108" s="467">
        <v>0</v>
      </c>
      <c r="M108" s="466" t="e">
        <v>#DIV/0!</v>
      </c>
      <c r="N108" s="467">
        <v>0</v>
      </c>
      <c r="O108" s="466" t="e">
        <v>#DIV/0!</v>
      </c>
      <c r="P108" s="467">
        <v>0</v>
      </c>
      <c r="Q108" s="467" t="e">
        <v>#DIV/0!</v>
      </c>
      <c r="R108" s="465">
        <f t="shared" si="58"/>
        <v>1</v>
      </c>
      <c r="S108" s="466">
        <f t="shared" si="59"/>
        <v>100</v>
      </c>
    </row>
    <row r="109" spans="1:19" ht="22.5" customHeight="1" x14ac:dyDescent="0.35">
      <c r="A109" s="541"/>
      <c r="B109" s="124"/>
      <c r="C109" s="572" t="s">
        <v>225</v>
      </c>
      <c r="D109" s="125"/>
      <c r="E109" s="400">
        <f>SUM(E100:E108)</f>
        <v>11</v>
      </c>
      <c r="F109" s="400">
        <f t="shared" ref="F109:J109" si="60">SUM(F100:F108)</f>
        <v>4</v>
      </c>
      <c r="G109" s="400">
        <f t="shared" si="60"/>
        <v>1</v>
      </c>
      <c r="H109" s="400">
        <f t="shared" si="60"/>
        <v>0</v>
      </c>
      <c r="I109" s="400">
        <f t="shared" si="60"/>
        <v>16</v>
      </c>
      <c r="J109" s="400">
        <f t="shared" si="60"/>
        <v>11</v>
      </c>
      <c r="K109" s="426">
        <f>J109/E109*100</f>
        <v>100</v>
      </c>
      <c r="L109" s="159">
        <f>SUM(L100:L108)</f>
        <v>4</v>
      </c>
      <c r="M109" s="426">
        <f>L109/F109*100</f>
        <v>100</v>
      </c>
      <c r="N109" s="159">
        <f>SUM(N100:N108)</f>
        <v>1</v>
      </c>
      <c r="O109" s="426">
        <f>N109/G109*100</f>
        <v>100</v>
      </c>
      <c r="P109" s="159">
        <f>SUM(P100:P108)</f>
        <v>0</v>
      </c>
      <c r="Q109" s="159" t="e">
        <f>P109/H109*100</f>
        <v>#DIV/0!</v>
      </c>
      <c r="R109" s="493">
        <f>SUM(R100:R108)</f>
        <v>16</v>
      </c>
      <c r="S109" s="426">
        <f>R109/I109*100</f>
        <v>100</v>
      </c>
    </row>
    <row r="110" spans="1:19" ht="22.5" customHeight="1" x14ac:dyDescent="0.4">
      <c r="A110" s="50">
        <v>9</v>
      </c>
      <c r="B110" s="32">
        <v>1</v>
      </c>
      <c r="C110" s="569" t="s">
        <v>137</v>
      </c>
      <c r="D110" s="660" t="s">
        <v>138</v>
      </c>
      <c r="E110" s="490">
        <v>3</v>
      </c>
      <c r="F110" s="490">
        <v>1</v>
      </c>
      <c r="G110" s="490">
        <v>1</v>
      </c>
      <c r="H110" s="490">
        <v>2</v>
      </c>
      <c r="I110" s="465">
        <f>SUM(E110:H110)</f>
        <v>7</v>
      </c>
      <c r="J110" s="490">
        <v>3</v>
      </c>
      <c r="K110" s="466">
        <f>J110/E110*100</f>
        <v>100</v>
      </c>
      <c r="L110" s="490">
        <v>1</v>
      </c>
      <c r="M110" s="466">
        <f>L110/F110*100</f>
        <v>100</v>
      </c>
      <c r="N110" s="465">
        <v>1</v>
      </c>
      <c r="O110" s="466">
        <f>N110/G110*100</f>
        <v>100</v>
      </c>
      <c r="P110" s="467">
        <v>0</v>
      </c>
      <c r="Q110" s="467">
        <f>P110/H110*100</f>
        <v>0</v>
      </c>
      <c r="R110" s="465">
        <f>J110+L110+N110+P110</f>
        <v>5</v>
      </c>
      <c r="S110" s="466">
        <f>R110/I110*100</f>
        <v>71.428571428571431</v>
      </c>
    </row>
    <row r="111" spans="1:19" ht="22.5" customHeight="1" x14ac:dyDescent="0.4">
      <c r="A111" s="36"/>
      <c r="B111" s="34">
        <v>2</v>
      </c>
      <c r="C111" s="450"/>
      <c r="D111" s="660" t="s">
        <v>139</v>
      </c>
      <c r="E111" s="490">
        <v>1</v>
      </c>
      <c r="F111" s="490">
        <v>0</v>
      </c>
      <c r="G111" s="490">
        <v>0</v>
      </c>
      <c r="H111" s="490">
        <v>0</v>
      </c>
      <c r="I111" s="465">
        <f t="shared" ref="I111:I122" si="61">SUM(E111:H111)</f>
        <v>1</v>
      </c>
      <c r="J111" s="490">
        <v>1</v>
      </c>
      <c r="K111" s="466">
        <f t="shared" ref="K111:K122" si="62">J111/E111*100</f>
        <v>100</v>
      </c>
      <c r="L111" s="490">
        <v>0</v>
      </c>
      <c r="M111" s="466" t="e">
        <f t="shared" ref="M111:M122" si="63">L111/F111*100</f>
        <v>#DIV/0!</v>
      </c>
      <c r="N111" s="467">
        <v>0</v>
      </c>
      <c r="O111" s="466" t="e">
        <f t="shared" ref="O111:O122" si="64">N111/G111*100</f>
        <v>#DIV/0!</v>
      </c>
      <c r="P111" s="467">
        <v>0</v>
      </c>
      <c r="Q111" s="467" t="e">
        <f t="shared" ref="Q111:Q121" si="65">P111/H111*100</f>
        <v>#DIV/0!</v>
      </c>
      <c r="R111" s="465">
        <f t="shared" ref="R111:R116" si="66">J111+L111+N111+P111</f>
        <v>1</v>
      </c>
      <c r="S111" s="466">
        <f t="shared" ref="S111:S122" si="67">R111/I111*100</f>
        <v>100</v>
      </c>
    </row>
    <row r="112" spans="1:19" ht="22.5" customHeight="1" x14ac:dyDescent="0.4">
      <c r="A112" s="36"/>
      <c r="B112" s="34">
        <v>3</v>
      </c>
      <c r="C112" s="450"/>
      <c r="D112" s="660" t="s">
        <v>140</v>
      </c>
      <c r="E112" s="490">
        <v>1</v>
      </c>
      <c r="F112" s="490">
        <v>0</v>
      </c>
      <c r="G112" s="490">
        <v>0</v>
      </c>
      <c r="H112" s="490">
        <v>0</v>
      </c>
      <c r="I112" s="465">
        <f t="shared" si="61"/>
        <v>1</v>
      </c>
      <c r="J112" s="490">
        <v>1</v>
      </c>
      <c r="K112" s="466">
        <f t="shared" si="62"/>
        <v>100</v>
      </c>
      <c r="L112" s="490">
        <v>0</v>
      </c>
      <c r="M112" s="466" t="e">
        <f t="shared" si="63"/>
        <v>#DIV/0!</v>
      </c>
      <c r="N112" s="467">
        <v>0</v>
      </c>
      <c r="O112" s="466" t="e">
        <f t="shared" si="64"/>
        <v>#DIV/0!</v>
      </c>
      <c r="P112" s="467">
        <v>0</v>
      </c>
      <c r="Q112" s="467" t="e">
        <f t="shared" si="65"/>
        <v>#DIV/0!</v>
      </c>
      <c r="R112" s="465">
        <f t="shared" si="66"/>
        <v>1</v>
      </c>
      <c r="S112" s="466">
        <f t="shared" si="67"/>
        <v>100</v>
      </c>
    </row>
    <row r="113" spans="1:19" ht="22.5" customHeight="1" x14ac:dyDescent="0.4">
      <c r="A113" s="36"/>
      <c r="B113" s="34">
        <v>4</v>
      </c>
      <c r="C113" s="450"/>
      <c r="D113" s="660" t="s">
        <v>141</v>
      </c>
      <c r="E113" s="490">
        <v>2</v>
      </c>
      <c r="F113" s="490">
        <v>0</v>
      </c>
      <c r="G113" s="490">
        <v>0</v>
      </c>
      <c r="H113" s="490">
        <v>1</v>
      </c>
      <c r="I113" s="465">
        <f t="shared" si="61"/>
        <v>3</v>
      </c>
      <c r="J113" s="490">
        <v>2</v>
      </c>
      <c r="K113" s="466">
        <f t="shared" si="62"/>
        <v>100</v>
      </c>
      <c r="L113" s="490">
        <v>0</v>
      </c>
      <c r="M113" s="466" t="e">
        <f t="shared" si="63"/>
        <v>#DIV/0!</v>
      </c>
      <c r="N113" s="467">
        <v>0</v>
      </c>
      <c r="O113" s="466" t="e">
        <f t="shared" si="64"/>
        <v>#DIV/0!</v>
      </c>
      <c r="P113" s="467">
        <v>0</v>
      </c>
      <c r="Q113" s="467">
        <f t="shared" si="65"/>
        <v>0</v>
      </c>
      <c r="R113" s="465">
        <v>2</v>
      </c>
      <c r="S113" s="466">
        <f t="shared" si="67"/>
        <v>66.666666666666657</v>
      </c>
    </row>
    <row r="114" spans="1:19" ht="22.5" customHeight="1" x14ac:dyDescent="0.4">
      <c r="A114" s="36"/>
      <c r="B114" s="34">
        <v>5</v>
      </c>
      <c r="C114" s="450"/>
      <c r="D114" s="660" t="s">
        <v>142</v>
      </c>
      <c r="E114" s="490">
        <v>1</v>
      </c>
      <c r="F114" s="490">
        <v>0</v>
      </c>
      <c r="G114" s="490">
        <v>0</v>
      </c>
      <c r="H114" s="490">
        <v>1</v>
      </c>
      <c r="I114" s="465">
        <f t="shared" si="61"/>
        <v>2</v>
      </c>
      <c r="J114" s="490">
        <v>1</v>
      </c>
      <c r="K114" s="466">
        <f t="shared" si="62"/>
        <v>100</v>
      </c>
      <c r="L114" s="490">
        <v>0</v>
      </c>
      <c r="M114" s="466" t="e">
        <f t="shared" si="63"/>
        <v>#DIV/0!</v>
      </c>
      <c r="N114" s="467">
        <v>0</v>
      </c>
      <c r="O114" s="466" t="e">
        <f t="shared" si="64"/>
        <v>#DIV/0!</v>
      </c>
      <c r="P114" s="467">
        <v>0</v>
      </c>
      <c r="Q114" s="467">
        <f t="shared" si="65"/>
        <v>0</v>
      </c>
      <c r="R114" s="465">
        <f t="shared" si="66"/>
        <v>1</v>
      </c>
      <c r="S114" s="466">
        <f t="shared" si="67"/>
        <v>50</v>
      </c>
    </row>
    <row r="115" spans="1:19" ht="22.5" customHeight="1" x14ac:dyDescent="0.4">
      <c r="A115" s="36"/>
      <c r="B115" s="34">
        <v>6</v>
      </c>
      <c r="C115" s="450"/>
      <c r="D115" s="660" t="s">
        <v>143</v>
      </c>
      <c r="E115" s="490">
        <v>2</v>
      </c>
      <c r="F115" s="490">
        <v>0</v>
      </c>
      <c r="G115" s="490">
        <v>0</v>
      </c>
      <c r="H115" s="490">
        <v>0</v>
      </c>
      <c r="I115" s="465">
        <f t="shared" si="61"/>
        <v>2</v>
      </c>
      <c r="J115" s="490">
        <v>2</v>
      </c>
      <c r="K115" s="466">
        <f t="shared" si="62"/>
        <v>100</v>
      </c>
      <c r="L115" s="490">
        <v>0</v>
      </c>
      <c r="M115" s="466" t="e">
        <f t="shared" si="63"/>
        <v>#DIV/0!</v>
      </c>
      <c r="N115" s="467">
        <v>0</v>
      </c>
      <c r="O115" s="466" t="e">
        <f t="shared" si="64"/>
        <v>#DIV/0!</v>
      </c>
      <c r="P115" s="467">
        <v>0</v>
      </c>
      <c r="Q115" s="467" t="e">
        <f t="shared" si="65"/>
        <v>#DIV/0!</v>
      </c>
      <c r="R115" s="465">
        <f t="shared" si="66"/>
        <v>2</v>
      </c>
      <c r="S115" s="466">
        <f t="shared" si="67"/>
        <v>100</v>
      </c>
    </row>
    <row r="116" spans="1:19" ht="22.5" customHeight="1" x14ac:dyDescent="0.4">
      <c r="A116" s="36"/>
      <c r="B116" s="34">
        <v>7</v>
      </c>
      <c r="C116" s="450"/>
      <c r="D116" s="660" t="s">
        <v>144</v>
      </c>
      <c r="E116" s="490">
        <v>2</v>
      </c>
      <c r="F116" s="490">
        <v>1</v>
      </c>
      <c r="G116" s="490">
        <v>0</v>
      </c>
      <c r="H116" s="490">
        <v>1</v>
      </c>
      <c r="I116" s="465">
        <f t="shared" si="61"/>
        <v>4</v>
      </c>
      <c r="J116" s="490">
        <v>2</v>
      </c>
      <c r="K116" s="466">
        <f t="shared" si="62"/>
        <v>100</v>
      </c>
      <c r="L116" s="490">
        <v>1</v>
      </c>
      <c r="M116" s="466">
        <f t="shared" si="63"/>
        <v>100</v>
      </c>
      <c r="N116" s="467">
        <v>0</v>
      </c>
      <c r="O116" s="466" t="e">
        <f t="shared" si="64"/>
        <v>#DIV/0!</v>
      </c>
      <c r="P116" s="467">
        <v>0</v>
      </c>
      <c r="Q116" s="467">
        <f t="shared" si="65"/>
        <v>0</v>
      </c>
      <c r="R116" s="465">
        <f t="shared" si="66"/>
        <v>3</v>
      </c>
      <c r="S116" s="466">
        <f t="shared" si="67"/>
        <v>75</v>
      </c>
    </row>
    <row r="117" spans="1:19" ht="22.5" customHeight="1" x14ac:dyDescent="0.4">
      <c r="A117" s="36"/>
      <c r="B117" s="34">
        <v>8</v>
      </c>
      <c r="C117" s="450"/>
      <c r="D117" s="660" t="s">
        <v>145</v>
      </c>
      <c r="E117" s="490">
        <v>1</v>
      </c>
      <c r="F117" s="490">
        <v>0</v>
      </c>
      <c r="G117" s="490">
        <v>0</v>
      </c>
      <c r="H117" s="490">
        <v>0</v>
      </c>
      <c r="I117" s="465">
        <f t="shared" si="61"/>
        <v>1</v>
      </c>
      <c r="J117" s="490">
        <v>1</v>
      </c>
      <c r="K117" s="466">
        <f t="shared" si="62"/>
        <v>100</v>
      </c>
      <c r="L117" s="490">
        <v>0</v>
      </c>
      <c r="M117" s="466" t="e">
        <f t="shared" si="63"/>
        <v>#DIV/0!</v>
      </c>
      <c r="N117" s="467">
        <v>0</v>
      </c>
      <c r="O117" s="466" t="e">
        <f t="shared" si="64"/>
        <v>#DIV/0!</v>
      </c>
      <c r="P117" s="467">
        <v>0</v>
      </c>
      <c r="Q117" s="467" t="e">
        <f t="shared" si="65"/>
        <v>#DIV/0!</v>
      </c>
      <c r="R117" s="465">
        <v>1</v>
      </c>
      <c r="S117" s="466">
        <f t="shared" si="67"/>
        <v>100</v>
      </c>
    </row>
    <row r="118" spans="1:19" ht="22.5" customHeight="1" x14ac:dyDescent="0.4">
      <c r="A118" s="36"/>
      <c r="B118" s="34">
        <v>9</v>
      </c>
      <c r="C118" s="450"/>
      <c r="D118" s="660" t="s">
        <v>146</v>
      </c>
      <c r="E118" s="490">
        <v>1</v>
      </c>
      <c r="F118" s="490">
        <v>0</v>
      </c>
      <c r="G118" s="490">
        <v>0</v>
      </c>
      <c r="H118" s="490">
        <v>0</v>
      </c>
      <c r="I118" s="465">
        <f t="shared" si="61"/>
        <v>1</v>
      </c>
      <c r="J118" s="490">
        <v>1</v>
      </c>
      <c r="K118" s="466">
        <f t="shared" si="62"/>
        <v>100</v>
      </c>
      <c r="L118" s="490">
        <v>0</v>
      </c>
      <c r="M118" s="466" t="e">
        <f t="shared" si="63"/>
        <v>#DIV/0!</v>
      </c>
      <c r="N118" s="467">
        <v>0</v>
      </c>
      <c r="O118" s="466" t="e">
        <f t="shared" si="64"/>
        <v>#DIV/0!</v>
      </c>
      <c r="P118" s="467">
        <v>0</v>
      </c>
      <c r="Q118" s="467" t="e">
        <f t="shared" si="65"/>
        <v>#DIV/0!</v>
      </c>
      <c r="R118" s="465">
        <v>1</v>
      </c>
      <c r="S118" s="466">
        <f t="shared" si="67"/>
        <v>100</v>
      </c>
    </row>
    <row r="119" spans="1:19" ht="22.5" customHeight="1" x14ac:dyDescent="0.4">
      <c r="A119" s="36"/>
      <c r="B119" s="34">
        <v>10</v>
      </c>
      <c r="C119" s="450"/>
      <c r="D119" s="660" t="s">
        <v>147</v>
      </c>
      <c r="E119" s="490">
        <v>1</v>
      </c>
      <c r="F119" s="490">
        <v>0</v>
      </c>
      <c r="G119" s="490">
        <v>0</v>
      </c>
      <c r="H119" s="490">
        <v>0</v>
      </c>
      <c r="I119" s="465">
        <f t="shared" si="61"/>
        <v>1</v>
      </c>
      <c r="J119" s="490">
        <v>1</v>
      </c>
      <c r="K119" s="466">
        <f t="shared" si="62"/>
        <v>100</v>
      </c>
      <c r="L119" s="490">
        <v>0</v>
      </c>
      <c r="M119" s="466" t="e">
        <f t="shared" si="63"/>
        <v>#DIV/0!</v>
      </c>
      <c r="N119" s="467">
        <v>0</v>
      </c>
      <c r="O119" s="466" t="e">
        <f t="shared" si="64"/>
        <v>#DIV/0!</v>
      </c>
      <c r="P119" s="467">
        <v>0</v>
      </c>
      <c r="Q119" s="467" t="e">
        <f t="shared" si="65"/>
        <v>#DIV/0!</v>
      </c>
      <c r="R119" s="465">
        <v>1</v>
      </c>
      <c r="S119" s="466">
        <f t="shared" si="67"/>
        <v>100</v>
      </c>
    </row>
    <row r="120" spans="1:19" ht="22.5" customHeight="1" x14ac:dyDescent="0.4">
      <c r="A120" s="36"/>
      <c r="B120" s="34">
        <v>11</v>
      </c>
      <c r="C120" s="450"/>
      <c r="D120" s="660" t="s">
        <v>148</v>
      </c>
      <c r="E120" s="490">
        <v>1</v>
      </c>
      <c r="F120" s="490">
        <v>0</v>
      </c>
      <c r="G120" s="490">
        <v>0</v>
      </c>
      <c r="H120" s="490">
        <v>0</v>
      </c>
      <c r="I120" s="465">
        <f t="shared" si="61"/>
        <v>1</v>
      </c>
      <c r="J120" s="490">
        <v>1</v>
      </c>
      <c r="K120" s="466">
        <f t="shared" si="62"/>
        <v>100</v>
      </c>
      <c r="L120" s="490">
        <v>0</v>
      </c>
      <c r="M120" s="466" t="e">
        <f t="shared" si="63"/>
        <v>#DIV/0!</v>
      </c>
      <c r="N120" s="467">
        <v>0</v>
      </c>
      <c r="O120" s="466" t="e">
        <f t="shared" si="64"/>
        <v>#DIV/0!</v>
      </c>
      <c r="P120" s="467">
        <v>0</v>
      </c>
      <c r="Q120" s="467" t="e">
        <f t="shared" si="65"/>
        <v>#DIV/0!</v>
      </c>
      <c r="R120" s="465">
        <v>1</v>
      </c>
      <c r="S120" s="466">
        <f t="shared" si="67"/>
        <v>100</v>
      </c>
    </row>
    <row r="121" spans="1:19" ht="22.5" customHeight="1" x14ac:dyDescent="0.4">
      <c r="A121" s="36"/>
      <c r="B121" s="34">
        <v>12</v>
      </c>
      <c r="C121" s="450"/>
      <c r="D121" s="660" t="s">
        <v>149</v>
      </c>
      <c r="E121" s="490">
        <v>3</v>
      </c>
      <c r="F121" s="490">
        <v>1</v>
      </c>
      <c r="G121" s="490">
        <v>0</v>
      </c>
      <c r="H121" s="490">
        <v>1</v>
      </c>
      <c r="I121" s="465">
        <f t="shared" si="61"/>
        <v>5</v>
      </c>
      <c r="J121" s="490">
        <v>3</v>
      </c>
      <c r="K121" s="466">
        <f t="shared" si="62"/>
        <v>100</v>
      </c>
      <c r="L121" s="490">
        <v>1</v>
      </c>
      <c r="M121" s="466">
        <f t="shared" si="63"/>
        <v>100</v>
      </c>
      <c r="N121" s="467">
        <v>0</v>
      </c>
      <c r="O121" s="466" t="e">
        <f t="shared" si="64"/>
        <v>#DIV/0!</v>
      </c>
      <c r="P121" s="467">
        <v>0</v>
      </c>
      <c r="Q121" s="467">
        <f t="shared" si="65"/>
        <v>0</v>
      </c>
      <c r="R121" s="465">
        <v>4</v>
      </c>
      <c r="S121" s="466">
        <f t="shared" si="67"/>
        <v>80</v>
      </c>
    </row>
    <row r="122" spans="1:19" ht="22.5" customHeight="1" x14ac:dyDescent="0.4">
      <c r="A122" s="36"/>
      <c r="B122" s="34">
        <v>13</v>
      </c>
      <c r="C122" s="450"/>
      <c r="D122" s="660" t="s">
        <v>150</v>
      </c>
      <c r="E122" s="490">
        <v>1</v>
      </c>
      <c r="F122" s="490">
        <v>1</v>
      </c>
      <c r="G122" s="490">
        <v>0</v>
      </c>
      <c r="H122" s="490">
        <v>0</v>
      </c>
      <c r="I122" s="465">
        <f t="shared" si="61"/>
        <v>2</v>
      </c>
      <c r="J122" s="490">
        <v>1</v>
      </c>
      <c r="K122" s="466">
        <f t="shared" si="62"/>
        <v>100</v>
      </c>
      <c r="L122" s="490">
        <v>1</v>
      </c>
      <c r="M122" s="466">
        <f t="shared" si="63"/>
        <v>100</v>
      </c>
      <c r="N122" s="467">
        <v>0</v>
      </c>
      <c r="O122" s="466" t="e">
        <f t="shared" si="64"/>
        <v>#DIV/0!</v>
      </c>
      <c r="P122" s="467">
        <v>0</v>
      </c>
      <c r="Q122" s="467" t="e">
        <f>P122/H122*100</f>
        <v>#DIV/0!</v>
      </c>
      <c r="R122" s="465">
        <v>1</v>
      </c>
      <c r="S122" s="466">
        <f t="shared" si="67"/>
        <v>50</v>
      </c>
    </row>
    <row r="123" spans="1:19" ht="22.5" customHeight="1" x14ac:dyDescent="0.35">
      <c r="A123" s="579"/>
      <c r="B123" s="110"/>
      <c r="C123" s="572"/>
      <c r="D123" s="125" t="s">
        <v>191</v>
      </c>
      <c r="E123" s="400">
        <f t="shared" ref="E123:P123" si="68">SUM(E110:E122)</f>
        <v>20</v>
      </c>
      <c r="F123" s="400">
        <f t="shared" si="68"/>
        <v>4</v>
      </c>
      <c r="G123" s="400">
        <f t="shared" si="68"/>
        <v>1</v>
      </c>
      <c r="H123" s="400">
        <f t="shared" si="68"/>
        <v>6</v>
      </c>
      <c r="I123" s="400">
        <f t="shared" si="68"/>
        <v>31</v>
      </c>
      <c r="J123" s="400">
        <f>SUM(J110:J122)</f>
        <v>20</v>
      </c>
      <c r="K123" s="400">
        <f>J123/E123*100</f>
        <v>100</v>
      </c>
      <c r="L123" s="400">
        <f t="shared" si="68"/>
        <v>4</v>
      </c>
      <c r="M123" s="400">
        <f>L123/F123*100</f>
        <v>100</v>
      </c>
      <c r="N123" s="400">
        <f t="shared" si="68"/>
        <v>1</v>
      </c>
      <c r="O123" s="400">
        <f>N123/G123*100</f>
        <v>100</v>
      </c>
      <c r="P123" s="400">
        <f t="shared" si="68"/>
        <v>0</v>
      </c>
      <c r="Q123" s="400">
        <f>P123/H123*100</f>
        <v>0</v>
      </c>
      <c r="R123" s="400">
        <f>SUM(R110:R122)</f>
        <v>24</v>
      </c>
      <c r="S123" s="400">
        <f>R123/I123*100</f>
        <v>77.41935483870968</v>
      </c>
    </row>
    <row r="124" spans="1:19" ht="22.5" customHeight="1" x14ac:dyDescent="0.35">
      <c r="A124" s="50">
        <v>10</v>
      </c>
      <c r="B124" s="50"/>
      <c r="C124" s="569" t="s">
        <v>152</v>
      </c>
      <c r="D124" s="600" t="s">
        <v>180</v>
      </c>
      <c r="E124" s="465">
        <v>1</v>
      </c>
      <c r="F124" s="465">
        <v>0</v>
      </c>
      <c r="G124" s="465">
        <v>0</v>
      </c>
      <c r="H124" s="465">
        <v>0</v>
      </c>
      <c r="I124" s="465">
        <v>1</v>
      </c>
      <c r="J124" s="465">
        <v>1</v>
      </c>
      <c r="K124" s="465">
        <v>100</v>
      </c>
      <c r="L124" s="465">
        <v>0</v>
      </c>
      <c r="M124" s="465" t="e">
        <v>#DIV/0!</v>
      </c>
      <c r="N124" s="465">
        <v>0</v>
      </c>
      <c r="O124" s="465" t="e">
        <v>#DIV/0!</v>
      </c>
      <c r="P124" s="465">
        <v>0</v>
      </c>
      <c r="Q124" s="465" t="e">
        <v>#DIV/0!</v>
      </c>
      <c r="R124" s="465">
        <f>J124+L124+N124+P124</f>
        <v>1</v>
      </c>
      <c r="S124" s="465">
        <f>R124/I124*100</f>
        <v>100</v>
      </c>
    </row>
    <row r="125" spans="1:19" ht="22.5" customHeight="1" x14ac:dyDescent="0.35">
      <c r="A125" s="36"/>
      <c r="B125" s="36"/>
      <c r="C125" s="450"/>
      <c r="D125" s="600" t="s">
        <v>181</v>
      </c>
      <c r="E125" s="465">
        <v>2</v>
      </c>
      <c r="F125" s="465">
        <v>0</v>
      </c>
      <c r="G125" s="465">
        <v>0</v>
      </c>
      <c r="H125" s="465">
        <v>0</v>
      </c>
      <c r="I125" s="465">
        <v>2</v>
      </c>
      <c r="J125" s="465">
        <v>2</v>
      </c>
      <c r="K125" s="465">
        <v>100</v>
      </c>
      <c r="L125" s="465">
        <v>0</v>
      </c>
      <c r="M125" s="465" t="e">
        <v>#DIV/0!</v>
      </c>
      <c r="N125" s="465">
        <v>0</v>
      </c>
      <c r="O125" s="465" t="e">
        <v>#DIV/0!</v>
      </c>
      <c r="P125" s="465">
        <v>0</v>
      </c>
      <c r="Q125" s="465" t="e">
        <v>#DIV/0!</v>
      </c>
      <c r="R125" s="465">
        <f t="shared" ref="R125:R134" si="69">J125+L125+N125+P125</f>
        <v>2</v>
      </c>
      <c r="S125" s="465">
        <f t="shared" ref="S125:S134" si="70">R125/I125*100</f>
        <v>100</v>
      </c>
    </row>
    <row r="126" spans="1:19" ht="22.5" customHeight="1" x14ac:dyDescent="0.35">
      <c r="A126" s="36"/>
      <c r="B126" s="36"/>
      <c r="C126" s="450"/>
      <c r="D126" s="600" t="s">
        <v>182</v>
      </c>
      <c r="E126" s="465">
        <v>1</v>
      </c>
      <c r="F126" s="465">
        <v>0</v>
      </c>
      <c r="G126" s="465">
        <v>0</v>
      </c>
      <c r="H126" s="465">
        <v>0</v>
      </c>
      <c r="I126" s="465">
        <v>1</v>
      </c>
      <c r="J126" s="465">
        <v>1</v>
      </c>
      <c r="K126" s="465">
        <v>100</v>
      </c>
      <c r="L126" s="465">
        <v>0</v>
      </c>
      <c r="M126" s="465" t="e">
        <v>#DIV/0!</v>
      </c>
      <c r="N126" s="465">
        <v>0</v>
      </c>
      <c r="O126" s="465" t="e">
        <v>#DIV/0!</v>
      </c>
      <c r="P126" s="465">
        <v>0</v>
      </c>
      <c r="Q126" s="465" t="e">
        <v>#DIV/0!</v>
      </c>
      <c r="R126" s="465">
        <f t="shared" si="69"/>
        <v>1</v>
      </c>
      <c r="S126" s="465">
        <f t="shared" si="70"/>
        <v>100</v>
      </c>
    </row>
    <row r="127" spans="1:19" ht="22.5" customHeight="1" x14ac:dyDescent="0.35">
      <c r="A127" s="36"/>
      <c r="B127" s="36"/>
      <c r="C127" s="450"/>
      <c r="D127" s="600" t="s">
        <v>183</v>
      </c>
      <c r="E127" s="465">
        <v>1</v>
      </c>
      <c r="F127" s="465">
        <v>0</v>
      </c>
      <c r="G127" s="465">
        <v>0</v>
      </c>
      <c r="H127" s="465">
        <v>0</v>
      </c>
      <c r="I127" s="465">
        <v>1</v>
      </c>
      <c r="J127" s="465">
        <v>1</v>
      </c>
      <c r="K127" s="465">
        <v>100</v>
      </c>
      <c r="L127" s="465">
        <v>0</v>
      </c>
      <c r="M127" s="465" t="e">
        <v>#DIV/0!</v>
      </c>
      <c r="N127" s="465">
        <v>0</v>
      </c>
      <c r="O127" s="465" t="e">
        <v>#DIV/0!</v>
      </c>
      <c r="P127" s="465">
        <v>0</v>
      </c>
      <c r="Q127" s="465" t="e">
        <v>#DIV/0!</v>
      </c>
      <c r="R127" s="465">
        <f t="shared" si="69"/>
        <v>1</v>
      </c>
      <c r="S127" s="465">
        <f t="shared" si="70"/>
        <v>100</v>
      </c>
    </row>
    <row r="128" spans="1:19" ht="22.5" customHeight="1" x14ac:dyDescent="0.35">
      <c r="A128" s="36"/>
      <c r="B128" s="36"/>
      <c r="C128" s="450"/>
      <c r="D128" s="600" t="s">
        <v>184</v>
      </c>
      <c r="E128" s="465">
        <v>1</v>
      </c>
      <c r="F128" s="465">
        <v>0</v>
      </c>
      <c r="G128" s="465">
        <v>0</v>
      </c>
      <c r="H128" s="465">
        <v>0</v>
      </c>
      <c r="I128" s="465">
        <v>1</v>
      </c>
      <c r="J128" s="465">
        <v>1</v>
      </c>
      <c r="K128" s="465">
        <v>100</v>
      </c>
      <c r="L128" s="465">
        <v>0</v>
      </c>
      <c r="M128" s="465" t="e">
        <v>#DIV/0!</v>
      </c>
      <c r="N128" s="465">
        <v>0</v>
      </c>
      <c r="O128" s="465" t="e">
        <v>#DIV/0!</v>
      </c>
      <c r="P128" s="465">
        <v>0</v>
      </c>
      <c r="Q128" s="465" t="e">
        <v>#DIV/0!</v>
      </c>
      <c r="R128" s="465">
        <f t="shared" si="69"/>
        <v>1</v>
      </c>
      <c r="S128" s="465">
        <f t="shared" si="70"/>
        <v>100</v>
      </c>
    </row>
    <row r="129" spans="1:19" ht="22.5" customHeight="1" x14ac:dyDescent="0.35">
      <c r="A129" s="36"/>
      <c r="B129" s="36"/>
      <c r="C129" s="450"/>
      <c r="D129" s="600" t="s">
        <v>152</v>
      </c>
      <c r="E129" s="465">
        <v>2</v>
      </c>
      <c r="F129" s="465">
        <v>1</v>
      </c>
      <c r="G129" s="465">
        <v>1</v>
      </c>
      <c r="H129" s="465">
        <v>0</v>
      </c>
      <c r="I129" s="465">
        <v>4</v>
      </c>
      <c r="J129" s="465">
        <v>2</v>
      </c>
      <c r="K129" s="465">
        <v>100</v>
      </c>
      <c r="L129" s="465">
        <v>0</v>
      </c>
      <c r="M129" s="465">
        <v>0</v>
      </c>
      <c r="N129" s="465">
        <v>1</v>
      </c>
      <c r="O129" s="465">
        <v>100</v>
      </c>
      <c r="P129" s="465">
        <v>0</v>
      </c>
      <c r="Q129" s="465" t="e">
        <v>#DIV/0!</v>
      </c>
      <c r="R129" s="465">
        <f>J129+L129+N129+P129</f>
        <v>3</v>
      </c>
      <c r="S129" s="465">
        <f t="shared" si="70"/>
        <v>75</v>
      </c>
    </row>
    <row r="130" spans="1:19" ht="22.5" customHeight="1" x14ac:dyDescent="0.35">
      <c r="A130" s="36"/>
      <c r="B130" s="36"/>
      <c r="C130" s="450"/>
      <c r="D130" s="600" t="s">
        <v>185</v>
      </c>
      <c r="E130" s="465">
        <v>1</v>
      </c>
      <c r="F130" s="465">
        <v>1</v>
      </c>
      <c r="G130" s="465">
        <v>0</v>
      </c>
      <c r="H130" s="465">
        <v>0</v>
      </c>
      <c r="I130" s="465">
        <v>2</v>
      </c>
      <c r="J130" s="465">
        <v>1</v>
      </c>
      <c r="K130" s="465">
        <v>100</v>
      </c>
      <c r="L130" s="465">
        <v>0</v>
      </c>
      <c r="M130" s="465">
        <v>0</v>
      </c>
      <c r="N130" s="465">
        <v>0</v>
      </c>
      <c r="O130" s="465" t="e">
        <v>#DIV/0!</v>
      </c>
      <c r="P130" s="465">
        <v>0</v>
      </c>
      <c r="Q130" s="465" t="e">
        <v>#DIV/0!</v>
      </c>
      <c r="R130" s="465">
        <f t="shared" si="69"/>
        <v>1</v>
      </c>
      <c r="S130" s="465">
        <f t="shared" si="70"/>
        <v>50</v>
      </c>
    </row>
    <row r="131" spans="1:19" ht="22.5" customHeight="1" x14ac:dyDescent="0.35">
      <c r="A131" s="36"/>
      <c r="B131" s="36"/>
      <c r="C131" s="450"/>
      <c r="D131" s="600" t="s">
        <v>186</v>
      </c>
      <c r="E131" s="465">
        <v>1</v>
      </c>
      <c r="F131" s="465">
        <v>0</v>
      </c>
      <c r="G131" s="465">
        <v>0</v>
      </c>
      <c r="H131" s="465">
        <v>0</v>
      </c>
      <c r="I131" s="465">
        <v>1</v>
      </c>
      <c r="J131" s="465">
        <v>1</v>
      </c>
      <c r="K131" s="465">
        <v>100</v>
      </c>
      <c r="L131" s="465">
        <v>0</v>
      </c>
      <c r="M131" s="465" t="e">
        <v>#DIV/0!</v>
      </c>
      <c r="N131" s="465">
        <v>0</v>
      </c>
      <c r="O131" s="465" t="e">
        <v>#DIV/0!</v>
      </c>
      <c r="P131" s="465">
        <v>0</v>
      </c>
      <c r="Q131" s="465" t="e">
        <v>#DIV/0!</v>
      </c>
      <c r="R131" s="465">
        <f t="shared" si="69"/>
        <v>1</v>
      </c>
      <c r="S131" s="465">
        <f t="shared" si="70"/>
        <v>100</v>
      </c>
    </row>
    <row r="132" spans="1:19" ht="22.5" customHeight="1" x14ac:dyDescent="0.35">
      <c r="A132" s="36"/>
      <c r="B132" s="36"/>
      <c r="C132" s="450"/>
      <c r="D132" s="600" t="s">
        <v>187</v>
      </c>
      <c r="E132" s="465">
        <v>1</v>
      </c>
      <c r="F132" s="465">
        <v>0</v>
      </c>
      <c r="G132" s="465">
        <v>0</v>
      </c>
      <c r="H132" s="465">
        <v>0</v>
      </c>
      <c r="I132" s="465">
        <v>1</v>
      </c>
      <c r="J132" s="465">
        <v>1</v>
      </c>
      <c r="K132" s="465">
        <v>100</v>
      </c>
      <c r="L132" s="465">
        <v>0</v>
      </c>
      <c r="M132" s="465" t="e">
        <v>#DIV/0!</v>
      </c>
      <c r="N132" s="465">
        <v>0</v>
      </c>
      <c r="O132" s="465" t="e">
        <v>#DIV/0!</v>
      </c>
      <c r="P132" s="465">
        <v>0</v>
      </c>
      <c r="Q132" s="465" t="e">
        <v>#DIV/0!</v>
      </c>
      <c r="R132" s="465">
        <f t="shared" si="69"/>
        <v>1</v>
      </c>
      <c r="S132" s="465">
        <f t="shared" si="70"/>
        <v>100</v>
      </c>
    </row>
    <row r="133" spans="1:19" ht="22.5" customHeight="1" x14ac:dyDescent="0.35">
      <c r="A133" s="36"/>
      <c r="B133" s="36"/>
      <c r="C133" s="450"/>
      <c r="D133" s="600" t="s">
        <v>188</v>
      </c>
      <c r="E133" s="465">
        <v>1</v>
      </c>
      <c r="F133" s="465">
        <v>0</v>
      </c>
      <c r="G133" s="465">
        <v>0</v>
      </c>
      <c r="H133" s="465">
        <v>0</v>
      </c>
      <c r="I133" s="465">
        <v>1</v>
      </c>
      <c r="J133" s="465">
        <v>1</v>
      </c>
      <c r="K133" s="465">
        <v>100</v>
      </c>
      <c r="L133" s="465">
        <v>0</v>
      </c>
      <c r="M133" s="465" t="e">
        <v>#DIV/0!</v>
      </c>
      <c r="N133" s="465">
        <v>0</v>
      </c>
      <c r="O133" s="465" t="e">
        <v>#DIV/0!</v>
      </c>
      <c r="P133" s="465">
        <v>0</v>
      </c>
      <c r="Q133" s="465" t="e">
        <v>#DIV/0!</v>
      </c>
      <c r="R133" s="465">
        <f t="shared" si="69"/>
        <v>1</v>
      </c>
      <c r="S133" s="465">
        <f t="shared" si="70"/>
        <v>100</v>
      </c>
    </row>
    <row r="134" spans="1:19" ht="22.5" customHeight="1" x14ac:dyDescent="0.35">
      <c r="A134" s="36"/>
      <c r="B134" s="36"/>
      <c r="C134" s="450"/>
      <c r="D134" s="600" t="s">
        <v>189</v>
      </c>
      <c r="E134" s="465">
        <v>0</v>
      </c>
      <c r="F134" s="465">
        <v>0</v>
      </c>
      <c r="G134" s="465">
        <v>0</v>
      </c>
      <c r="H134" s="465">
        <v>0</v>
      </c>
      <c r="I134" s="465">
        <v>0</v>
      </c>
      <c r="J134" s="465">
        <v>0</v>
      </c>
      <c r="K134" s="465" t="e">
        <v>#DIV/0!</v>
      </c>
      <c r="L134" s="465">
        <v>0</v>
      </c>
      <c r="M134" s="465" t="e">
        <v>#DIV/0!</v>
      </c>
      <c r="N134" s="465">
        <v>0</v>
      </c>
      <c r="O134" s="465" t="e">
        <v>#DIV/0!</v>
      </c>
      <c r="P134" s="465">
        <v>0</v>
      </c>
      <c r="Q134" s="465" t="e">
        <v>#DIV/0!</v>
      </c>
      <c r="R134" s="465">
        <f t="shared" si="69"/>
        <v>0</v>
      </c>
      <c r="S134" s="465" t="e">
        <f t="shared" si="70"/>
        <v>#DIV/0!</v>
      </c>
    </row>
    <row r="135" spans="1:19" ht="22.5" customHeight="1" x14ac:dyDescent="0.35">
      <c r="A135" s="579"/>
      <c r="B135" s="579"/>
      <c r="C135" s="572"/>
      <c r="D135" s="124" t="s">
        <v>191</v>
      </c>
      <c r="E135" s="493">
        <f>SUM(E124:E134)</f>
        <v>12</v>
      </c>
      <c r="F135" s="493">
        <f t="shared" ref="F135:J135" si="71">SUM(F124:F134)</f>
        <v>2</v>
      </c>
      <c r="G135" s="493">
        <f t="shared" si="71"/>
        <v>1</v>
      </c>
      <c r="H135" s="493">
        <f t="shared" si="71"/>
        <v>0</v>
      </c>
      <c r="I135" s="493">
        <f t="shared" si="71"/>
        <v>15</v>
      </c>
      <c r="J135" s="493">
        <f t="shared" si="71"/>
        <v>12</v>
      </c>
      <c r="K135" s="493">
        <f>J135/E135*100</f>
        <v>100</v>
      </c>
      <c r="L135" s="493">
        <f>SUM(L124:L134)</f>
        <v>0</v>
      </c>
      <c r="M135" s="493">
        <f>L135/F135*100</f>
        <v>0</v>
      </c>
      <c r="N135" s="493">
        <f>SUM(N124:N134)</f>
        <v>1</v>
      </c>
      <c r="O135" s="493">
        <f>N135/G135*100</f>
        <v>100</v>
      </c>
      <c r="P135" s="493">
        <f>SUM(P124:P134)</f>
        <v>0</v>
      </c>
      <c r="Q135" s="493" t="e">
        <f>P135/H135*100</f>
        <v>#DIV/0!</v>
      </c>
      <c r="R135" s="493">
        <f>SUM(R124:R134)</f>
        <v>13</v>
      </c>
      <c r="S135" s="493">
        <f>R135/I135*100</f>
        <v>86.666666666666671</v>
      </c>
    </row>
    <row r="136" spans="1:19" ht="22.5" customHeight="1" x14ac:dyDescent="0.45">
      <c r="A136" s="601">
        <v>11</v>
      </c>
      <c r="B136" s="601"/>
      <c r="C136" s="602" t="s">
        <v>167</v>
      </c>
      <c r="D136" s="629" t="s">
        <v>168</v>
      </c>
      <c r="E136" s="589">
        <v>3</v>
      </c>
      <c r="F136" s="589">
        <v>1</v>
      </c>
      <c r="G136" s="589">
        <v>1</v>
      </c>
      <c r="H136" s="589">
        <v>1</v>
      </c>
      <c r="I136" s="589">
        <f>SUM(E136:H136)</f>
        <v>6</v>
      </c>
      <c r="J136" s="589">
        <v>3</v>
      </c>
      <c r="K136" s="466">
        <f>J136/E136*100</f>
        <v>100</v>
      </c>
      <c r="L136" s="589">
        <v>1</v>
      </c>
      <c r="M136" s="466">
        <f>L136/F136*100</f>
        <v>100</v>
      </c>
      <c r="N136" s="465">
        <v>1</v>
      </c>
      <c r="O136" s="466">
        <f>N136/G136*100</f>
        <v>100</v>
      </c>
      <c r="P136" s="589">
        <v>1</v>
      </c>
      <c r="Q136" s="467">
        <f>P136/H136*100</f>
        <v>100</v>
      </c>
      <c r="R136" s="589">
        <f>J136+L136+N136+P136</f>
        <v>6</v>
      </c>
      <c r="S136" s="466">
        <f>R136/I136*100</f>
        <v>100</v>
      </c>
    </row>
    <row r="137" spans="1:19" ht="22.5" customHeight="1" x14ac:dyDescent="0.45">
      <c r="A137" s="179"/>
      <c r="B137" s="179"/>
      <c r="C137" s="603"/>
      <c r="D137" s="629" t="s">
        <v>169</v>
      </c>
      <c r="E137" s="589">
        <v>1</v>
      </c>
      <c r="F137" s="589">
        <v>0</v>
      </c>
      <c r="G137" s="589">
        <v>0</v>
      </c>
      <c r="H137" s="589">
        <v>0</v>
      </c>
      <c r="I137" s="589">
        <f t="shared" ref="I137:I145" si="72">SUM(E137:H137)</f>
        <v>1</v>
      </c>
      <c r="J137" s="589">
        <v>1</v>
      </c>
      <c r="K137" s="466">
        <f t="shared" ref="K137:K145" si="73">J137/E137*100</f>
        <v>100</v>
      </c>
      <c r="L137" s="589">
        <v>0</v>
      </c>
      <c r="M137" s="466">
        <v>0</v>
      </c>
      <c r="N137" s="467">
        <v>0</v>
      </c>
      <c r="O137" s="466">
        <v>0</v>
      </c>
      <c r="P137" s="589">
        <v>0</v>
      </c>
      <c r="Q137" s="467" t="e">
        <f t="shared" ref="Q137:Q144" si="74">P137/H137*100</f>
        <v>#DIV/0!</v>
      </c>
      <c r="R137" s="589">
        <f t="shared" ref="R137:R145" si="75">J137+L137+N137+P137</f>
        <v>1</v>
      </c>
      <c r="S137" s="466">
        <f t="shared" ref="S137:S146" si="76">R137/I137*100</f>
        <v>100</v>
      </c>
    </row>
    <row r="138" spans="1:19" ht="22.5" customHeight="1" x14ac:dyDescent="0.45">
      <c r="A138" s="179"/>
      <c r="B138" s="179"/>
      <c r="C138" s="603"/>
      <c r="D138" s="629" t="s">
        <v>170</v>
      </c>
      <c r="E138" s="589">
        <v>1</v>
      </c>
      <c r="F138" s="589">
        <v>0</v>
      </c>
      <c r="G138" s="589">
        <v>0</v>
      </c>
      <c r="H138" s="589">
        <v>0</v>
      </c>
      <c r="I138" s="589">
        <f t="shared" si="72"/>
        <v>1</v>
      </c>
      <c r="J138" s="589">
        <v>1</v>
      </c>
      <c r="K138" s="466">
        <f t="shared" si="73"/>
        <v>100</v>
      </c>
      <c r="L138" s="589">
        <v>0</v>
      </c>
      <c r="M138" s="466">
        <v>0</v>
      </c>
      <c r="N138" s="467">
        <v>0</v>
      </c>
      <c r="O138" s="466">
        <v>0</v>
      </c>
      <c r="P138" s="589">
        <v>0</v>
      </c>
      <c r="Q138" s="467">
        <v>0</v>
      </c>
      <c r="R138" s="589">
        <f t="shared" si="75"/>
        <v>1</v>
      </c>
      <c r="S138" s="466">
        <f t="shared" si="76"/>
        <v>100</v>
      </c>
    </row>
    <row r="139" spans="1:19" ht="22.5" customHeight="1" x14ac:dyDescent="0.45">
      <c r="A139" s="179"/>
      <c r="B139" s="179"/>
      <c r="C139" s="603"/>
      <c r="D139" s="629" t="s">
        <v>171</v>
      </c>
      <c r="E139" s="589">
        <v>1</v>
      </c>
      <c r="F139" s="589">
        <v>0</v>
      </c>
      <c r="G139" s="589">
        <v>0</v>
      </c>
      <c r="H139" s="589">
        <v>1</v>
      </c>
      <c r="I139" s="589">
        <f t="shared" si="72"/>
        <v>2</v>
      </c>
      <c r="J139" s="589">
        <v>1</v>
      </c>
      <c r="K139" s="466">
        <f t="shared" si="73"/>
        <v>100</v>
      </c>
      <c r="L139" s="589">
        <v>0</v>
      </c>
      <c r="M139" s="466">
        <v>0</v>
      </c>
      <c r="N139" s="467">
        <v>0</v>
      </c>
      <c r="O139" s="466">
        <v>0</v>
      </c>
      <c r="P139" s="589">
        <v>0</v>
      </c>
      <c r="Q139" s="467">
        <f t="shared" si="74"/>
        <v>0</v>
      </c>
      <c r="R139" s="589">
        <f t="shared" si="75"/>
        <v>1</v>
      </c>
      <c r="S139" s="466">
        <f t="shared" si="76"/>
        <v>50</v>
      </c>
    </row>
    <row r="140" spans="1:19" ht="22.5" customHeight="1" x14ac:dyDescent="0.45">
      <c r="A140" s="179"/>
      <c r="B140" s="179"/>
      <c r="C140" s="603"/>
      <c r="D140" s="629" t="s">
        <v>175</v>
      </c>
      <c r="E140" s="589">
        <v>1</v>
      </c>
      <c r="F140" s="589">
        <v>0</v>
      </c>
      <c r="G140" s="589">
        <v>0</v>
      </c>
      <c r="H140" s="589">
        <v>1</v>
      </c>
      <c r="I140" s="589">
        <f t="shared" si="72"/>
        <v>2</v>
      </c>
      <c r="J140" s="589">
        <v>1</v>
      </c>
      <c r="K140" s="466">
        <f t="shared" si="73"/>
        <v>100</v>
      </c>
      <c r="L140" s="589">
        <v>0</v>
      </c>
      <c r="M140" s="466" t="e">
        <f>L140/F140*100</f>
        <v>#DIV/0!</v>
      </c>
      <c r="N140" s="467">
        <v>0</v>
      </c>
      <c r="O140" s="466">
        <v>0</v>
      </c>
      <c r="P140" s="589">
        <v>0</v>
      </c>
      <c r="Q140" s="467">
        <f t="shared" si="74"/>
        <v>0</v>
      </c>
      <c r="R140" s="589">
        <f t="shared" si="75"/>
        <v>1</v>
      </c>
      <c r="S140" s="466">
        <f t="shared" si="76"/>
        <v>50</v>
      </c>
    </row>
    <row r="141" spans="1:19" ht="22.5" customHeight="1" x14ac:dyDescent="0.45">
      <c r="A141" s="179"/>
      <c r="B141" s="179"/>
      <c r="C141" s="603"/>
      <c r="D141" s="629" t="s">
        <v>174</v>
      </c>
      <c r="E141" s="589">
        <v>1</v>
      </c>
      <c r="F141" s="589">
        <v>0</v>
      </c>
      <c r="G141" s="589">
        <v>0</v>
      </c>
      <c r="H141" s="589">
        <v>1</v>
      </c>
      <c r="I141" s="589">
        <f t="shared" si="72"/>
        <v>2</v>
      </c>
      <c r="J141" s="589">
        <v>1</v>
      </c>
      <c r="K141" s="466">
        <f t="shared" si="73"/>
        <v>100</v>
      </c>
      <c r="L141" s="589">
        <v>0</v>
      </c>
      <c r="M141" s="466">
        <v>0</v>
      </c>
      <c r="N141" s="467">
        <v>0</v>
      </c>
      <c r="O141" s="466">
        <v>0</v>
      </c>
      <c r="P141" s="589">
        <v>1</v>
      </c>
      <c r="Q141" s="467">
        <v>0</v>
      </c>
      <c r="R141" s="589">
        <f t="shared" si="75"/>
        <v>2</v>
      </c>
      <c r="S141" s="466">
        <f t="shared" si="76"/>
        <v>100</v>
      </c>
    </row>
    <row r="142" spans="1:19" ht="22.5" customHeight="1" x14ac:dyDescent="0.45">
      <c r="A142" s="179"/>
      <c r="B142" s="179"/>
      <c r="C142" s="603"/>
      <c r="D142" s="629" t="s">
        <v>172</v>
      </c>
      <c r="E142" s="589">
        <v>2</v>
      </c>
      <c r="F142" s="589">
        <v>1</v>
      </c>
      <c r="G142" s="589">
        <v>0</v>
      </c>
      <c r="H142" s="589">
        <v>1</v>
      </c>
      <c r="I142" s="589">
        <f t="shared" si="72"/>
        <v>4</v>
      </c>
      <c r="J142" s="589">
        <v>2</v>
      </c>
      <c r="K142" s="466">
        <f t="shared" si="73"/>
        <v>100</v>
      </c>
      <c r="L142" s="589">
        <v>1</v>
      </c>
      <c r="M142" s="466">
        <v>0</v>
      </c>
      <c r="N142" s="467">
        <v>0</v>
      </c>
      <c r="O142" s="466">
        <v>0</v>
      </c>
      <c r="P142" s="589">
        <v>1</v>
      </c>
      <c r="Q142" s="467">
        <f t="shared" si="74"/>
        <v>100</v>
      </c>
      <c r="R142" s="589">
        <f t="shared" si="75"/>
        <v>4</v>
      </c>
      <c r="S142" s="466">
        <f t="shared" si="76"/>
        <v>100</v>
      </c>
    </row>
    <row r="143" spans="1:19" ht="22.5" customHeight="1" x14ac:dyDescent="0.45">
      <c r="A143" s="179"/>
      <c r="B143" s="179"/>
      <c r="C143" s="603"/>
      <c r="D143" s="629" t="s">
        <v>176</v>
      </c>
      <c r="E143" s="589">
        <v>1</v>
      </c>
      <c r="F143" s="589">
        <v>0</v>
      </c>
      <c r="G143" s="589">
        <v>0</v>
      </c>
      <c r="H143" s="589">
        <v>1</v>
      </c>
      <c r="I143" s="589">
        <f t="shared" si="72"/>
        <v>2</v>
      </c>
      <c r="J143" s="589">
        <v>1</v>
      </c>
      <c r="K143" s="466">
        <f t="shared" si="73"/>
        <v>100</v>
      </c>
      <c r="L143" s="589">
        <v>0</v>
      </c>
      <c r="M143" s="466">
        <v>0</v>
      </c>
      <c r="N143" s="467">
        <v>0</v>
      </c>
      <c r="O143" s="466">
        <v>0</v>
      </c>
      <c r="P143" s="589">
        <v>0</v>
      </c>
      <c r="Q143" s="467">
        <f t="shared" si="74"/>
        <v>0</v>
      </c>
      <c r="R143" s="589">
        <f t="shared" si="75"/>
        <v>1</v>
      </c>
      <c r="S143" s="466">
        <f t="shared" si="76"/>
        <v>50</v>
      </c>
    </row>
    <row r="144" spans="1:19" ht="22.5" customHeight="1" x14ac:dyDescent="0.45">
      <c r="A144" s="179"/>
      <c r="B144" s="179"/>
      <c r="C144" s="603"/>
      <c r="D144" s="629" t="s">
        <v>173</v>
      </c>
      <c r="E144" s="589">
        <v>1</v>
      </c>
      <c r="F144" s="589">
        <v>0</v>
      </c>
      <c r="G144" s="589">
        <v>0</v>
      </c>
      <c r="H144" s="589">
        <v>1</v>
      </c>
      <c r="I144" s="589">
        <f t="shared" si="72"/>
        <v>2</v>
      </c>
      <c r="J144" s="589">
        <v>1</v>
      </c>
      <c r="K144" s="466">
        <f t="shared" si="73"/>
        <v>100</v>
      </c>
      <c r="L144" s="589">
        <v>0</v>
      </c>
      <c r="M144" s="466">
        <v>0</v>
      </c>
      <c r="N144" s="467">
        <v>0</v>
      </c>
      <c r="O144" s="466">
        <v>0</v>
      </c>
      <c r="P144" s="589">
        <v>0</v>
      </c>
      <c r="Q144" s="467">
        <f t="shared" si="74"/>
        <v>0</v>
      </c>
      <c r="R144" s="589">
        <f t="shared" si="75"/>
        <v>1</v>
      </c>
      <c r="S144" s="466">
        <f t="shared" si="76"/>
        <v>50</v>
      </c>
    </row>
    <row r="145" spans="1:19" ht="22.5" customHeight="1" x14ac:dyDescent="0.45">
      <c r="A145" s="179"/>
      <c r="B145" s="179"/>
      <c r="C145" s="603"/>
      <c r="D145" s="629" t="s">
        <v>177</v>
      </c>
      <c r="E145" s="589">
        <v>1</v>
      </c>
      <c r="F145" s="589">
        <v>1</v>
      </c>
      <c r="G145" s="589">
        <v>0</v>
      </c>
      <c r="H145" s="589">
        <v>0</v>
      </c>
      <c r="I145" s="589">
        <f t="shared" si="72"/>
        <v>2</v>
      </c>
      <c r="J145" s="589">
        <v>1</v>
      </c>
      <c r="K145" s="466">
        <f t="shared" si="73"/>
        <v>100</v>
      </c>
      <c r="L145" s="589">
        <v>1</v>
      </c>
      <c r="M145" s="466">
        <f>L145/F145*100</f>
        <v>100</v>
      </c>
      <c r="N145" s="467">
        <v>0</v>
      </c>
      <c r="O145" s="466">
        <v>0</v>
      </c>
      <c r="P145" s="589">
        <v>0</v>
      </c>
      <c r="Q145" s="467">
        <v>0</v>
      </c>
      <c r="R145" s="589">
        <f t="shared" si="75"/>
        <v>2</v>
      </c>
      <c r="S145" s="466">
        <f t="shared" si="76"/>
        <v>100</v>
      </c>
    </row>
    <row r="146" spans="1:19" ht="22.5" customHeight="1" x14ac:dyDescent="0.35">
      <c r="A146" s="567"/>
      <c r="B146" s="567"/>
      <c r="C146" s="572"/>
      <c r="D146" s="124" t="s">
        <v>191</v>
      </c>
      <c r="E146" s="493">
        <f>SUM(E136:E145)</f>
        <v>13</v>
      </c>
      <c r="F146" s="493">
        <f t="shared" ref="F146:J146" si="77">SUM(F136:F145)</f>
        <v>3</v>
      </c>
      <c r="G146" s="493">
        <f t="shared" si="77"/>
        <v>1</v>
      </c>
      <c r="H146" s="493">
        <f t="shared" si="77"/>
        <v>7</v>
      </c>
      <c r="I146" s="493">
        <f t="shared" si="77"/>
        <v>24</v>
      </c>
      <c r="J146" s="493">
        <f t="shared" si="77"/>
        <v>13</v>
      </c>
      <c r="K146" s="493">
        <f>J146/E146*100</f>
        <v>100</v>
      </c>
      <c r="L146" s="493">
        <f>SUM(L136:L145)</f>
        <v>3</v>
      </c>
      <c r="M146" s="493">
        <f>L146/F146*100</f>
        <v>100</v>
      </c>
      <c r="N146" s="493">
        <f>SUM(N136:N145)</f>
        <v>1</v>
      </c>
      <c r="O146" s="493">
        <f>N146/G146*100</f>
        <v>100</v>
      </c>
      <c r="P146" s="493">
        <f>SUM(P136:P145)</f>
        <v>3</v>
      </c>
      <c r="Q146" s="493">
        <f>P146/H146*100</f>
        <v>42.857142857142854</v>
      </c>
      <c r="R146" s="493">
        <f>SUM(R136:R145)</f>
        <v>20</v>
      </c>
      <c r="S146" s="493">
        <f t="shared" si="76"/>
        <v>83.333333333333343</v>
      </c>
    </row>
    <row r="147" spans="1:19" x14ac:dyDescent="0.35">
      <c r="A147" s="3"/>
      <c r="B147" s="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</row>
    <row r="148" spans="1:19" x14ac:dyDescent="0.35">
      <c r="A148" s="3"/>
      <c r="B148" s="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</row>
    <row r="149" spans="1:19" x14ac:dyDescent="0.35">
      <c r="A149" s="58"/>
      <c r="B149" s="5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</row>
    <row r="150" spans="1:19" x14ac:dyDescent="0.35">
      <c r="L150" s="13"/>
      <c r="M150" s="13"/>
      <c r="N150" s="13"/>
      <c r="O150" s="13"/>
      <c r="P150" s="13"/>
      <c r="Q150" s="13"/>
      <c r="R150" s="13"/>
    </row>
  </sheetData>
  <mergeCells count="34">
    <mergeCell ref="P28:Q29"/>
    <mergeCell ref="R28:S29"/>
    <mergeCell ref="C22:D22"/>
    <mergeCell ref="D6:D9"/>
    <mergeCell ref="E6:I6"/>
    <mergeCell ref="J6:S6"/>
    <mergeCell ref="E7:F8"/>
    <mergeCell ref="G7:G9"/>
    <mergeCell ref="H7:H9"/>
    <mergeCell ref="I7:I9"/>
    <mergeCell ref="J7:M7"/>
    <mergeCell ref="N7:O8"/>
    <mergeCell ref="A6:B9"/>
    <mergeCell ref="C6:C9"/>
    <mergeCell ref="J8:K8"/>
    <mergeCell ref="L8:M8"/>
    <mergeCell ref="B3:S3"/>
    <mergeCell ref="B4:S4"/>
    <mergeCell ref="B2:S2"/>
    <mergeCell ref="C27:C30"/>
    <mergeCell ref="D27:D30"/>
    <mergeCell ref="E27:I27"/>
    <mergeCell ref="J27:S27"/>
    <mergeCell ref="E28:F29"/>
    <mergeCell ref="G28:G30"/>
    <mergeCell ref="H28:H30"/>
    <mergeCell ref="I28:I30"/>
    <mergeCell ref="J28:M28"/>
    <mergeCell ref="N28:O29"/>
    <mergeCell ref="A27:B30"/>
    <mergeCell ref="P7:Q8"/>
    <mergeCell ref="R7:S8"/>
    <mergeCell ref="J29:K29"/>
    <mergeCell ref="L29:M29"/>
  </mergeCells>
  <printOptions horizontalCentered="1"/>
  <pageMargins left="0.47244094488188981" right="0.47244094488188981" top="0.74803149606299213" bottom="0.74803149606299213" header="0.31496062992125984" footer="0.31496062992125984"/>
  <pageSetup paperSize="9" scale="55" orientation="landscape" horizontalDpi="4294967293" r:id="rId1"/>
  <rowBreaks count="1" manualBreakCount="1">
    <brk id="88" max="1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1">
    <tabColor rgb="FFC00000"/>
  </sheetPr>
  <dimension ref="A1:AC142"/>
  <sheetViews>
    <sheetView view="pageBreakPreview" zoomScale="60" zoomScaleNormal="70" workbookViewId="0">
      <selection activeCell="H12" sqref="H12"/>
    </sheetView>
  </sheetViews>
  <sheetFormatPr defaultRowHeight="15.5" x14ac:dyDescent="0.35"/>
  <cols>
    <col min="1" max="1" width="5.26953125" style="73" customWidth="1"/>
    <col min="2" max="2" width="5.1796875" style="12" customWidth="1"/>
    <col min="3" max="3" width="26" style="7" customWidth="1"/>
    <col min="4" max="4" width="25.26953125" style="7" customWidth="1"/>
    <col min="5" max="5" width="13.453125" style="13" customWidth="1"/>
    <col min="6" max="6" width="10.7265625" style="13" customWidth="1"/>
    <col min="7" max="7" width="11" style="13" customWidth="1"/>
    <col min="8" max="8" width="14.54296875" style="13" bestFit="1" customWidth="1"/>
    <col min="9" max="9" width="11" style="13" customWidth="1"/>
    <col min="10" max="10" width="10.90625" style="13" bestFit="1" customWidth="1"/>
    <col min="11" max="11" width="14.90625" style="13" bestFit="1" customWidth="1"/>
    <col min="12" max="12" width="10.1796875" style="13" customWidth="1"/>
    <col min="13" max="13" width="10.6328125" style="13" customWidth="1"/>
    <col min="14" max="14" width="14.54296875" style="13" bestFit="1" customWidth="1"/>
    <col min="15" max="15" width="9.453125" style="13" customWidth="1"/>
    <col min="16" max="16" width="11" style="13" customWidth="1"/>
    <col min="17" max="17" width="14.54296875" style="13" bestFit="1" customWidth="1"/>
    <col min="18" max="18" width="11.54296875" style="13" customWidth="1"/>
    <col min="19" max="19" width="14.90625" style="13" bestFit="1" customWidth="1"/>
    <col min="20" max="20" width="13.1796875" style="13" customWidth="1"/>
    <col min="21" max="21" width="11.7265625" style="13" customWidth="1"/>
    <col min="22" max="22" width="10.6328125" style="13" customWidth="1"/>
    <col min="23" max="23" width="14.54296875" style="13" bestFit="1" customWidth="1"/>
    <col min="24" max="24" width="10.26953125" style="13" customWidth="1"/>
    <col min="25" max="25" width="10.453125" style="13" customWidth="1"/>
    <col min="26" max="26" width="9.81640625" style="7" customWidth="1"/>
    <col min="27" max="27" width="7.453125" style="7" customWidth="1"/>
    <col min="28" max="28" width="9.26953125" style="7" customWidth="1"/>
    <col min="29" max="29" width="5.7265625" style="7" customWidth="1"/>
    <col min="30" max="258" width="8.7265625" style="7"/>
    <col min="259" max="259" width="5.1796875" style="7" customWidth="1"/>
    <col min="260" max="260" width="20.54296875" style="7" customWidth="1"/>
    <col min="261" max="261" width="20.26953125" style="7" customWidth="1"/>
    <col min="262" max="262" width="12.1796875" style="7" customWidth="1"/>
    <col min="263" max="263" width="11.54296875" style="7" customWidth="1"/>
    <col min="264" max="264" width="14.1796875" style="7" bestFit="1" customWidth="1"/>
    <col min="265" max="265" width="11" style="7" customWidth="1"/>
    <col min="266" max="266" width="11.26953125" style="7" customWidth="1"/>
    <col min="267" max="267" width="14.1796875" style="7" bestFit="1" customWidth="1"/>
    <col min="268" max="268" width="10.1796875" style="7" customWidth="1"/>
    <col min="269" max="269" width="8.81640625" style="7" customWidth="1"/>
    <col min="270" max="270" width="14.1796875" style="7" bestFit="1" customWidth="1"/>
    <col min="271" max="272" width="9.453125" style="7" customWidth="1"/>
    <col min="273" max="273" width="14.1796875" style="7" bestFit="1" customWidth="1"/>
    <col min="274" max="274" width="11.54296875" style="7" customWidth="1"/>
    <col min="275" max="275" width="5.7265625" style="7" customWidth="1"/>
    <col min="276" max="276" width="14.1796875" style="7" bestFit="1" customWidth="1"/>
    <col min="277" max="277" width="9" style="7" customWidth="1"/>
    <col min="278" max="278" width="10.1796875" style="7" customWidth="1"/>
    <col min="279" max="279" width="14.1796875" style="7" bestFit="1" customWidth="1"/>
    <col min="280" max="280" width="9.453125" style="7" customWidth="1"/>
    <col min="281" max="281" width="5.81640625" style="7" customWidth="1"/>
    <col min="282" max="282" width="9.81640625" style="7" customWidth="1"/>
    <col min="283" max="283" width="7.453125" style="7" customWidth="1"/>
    <col min="284" max="284" width="9.26953125" style="7" customWidth="1"/>
    <col min="285" max="285" width="5.7265625" style="7" customWidth="1"/>
    <col min="286" max="514" width="8.7265625" style="7"/>
    <col min="515" max="515" width="5.1796875" style="7" customWidth="1"/>
    <col min="516" max="516" width="20.54296875" style="7" customWidth="1"/>
    <col min="517" max="517" width="20.26953125" style="7" customWidth="1"/>
    <col min="518" max="518" width="12.1796875" style="7" customWidth="1"/>
    <col min="519" max="519" width="11.54296875" style="7" customWidth="1"/>
    <col min="520" max="520" width="14.1796875" style="7" bestFit="1" customWidth="1"/>
    <col min="521" max="521" width="11" style="7" customWidth="1"/>
    <col min="522" max="522" width="11.26953125" style="7" customWidth="1"/>
    <col min="523" max="523" width="14.1796875" style="7" bestFit="1" customWidth="1"/>
    <col min="524" max="524" width="10.1796875" style="7" customWidth="1"/>
    <col min="525" max="525" width="8.81640625" style="7" customWidth="1"/>
    <col min="526" max="526" width="14.1796875" style="7" bestFit="1" customWidth="1"/>
    <col min="527" max="528" width="9.453125" style="7" customWidth="1"/>
    <col min="529" max="529" width="14.1796875" style="7" bestFit="1" customWidth="1"/>
    <col min="530" max="530" width="11.54296875" style="7" customWidth="1"/>
    <col min="531" max="531" width="5.7265625" style="7" customWidth="1"/>
    <col min="532" max="532" width="14.1796875" style="7" bestFit="1" customWidth="1"/>
    <col min="533" max="533" width="9" style="7" customWidth="1"/>
    <col min="534" max="534" width="10.1796875" style="7" customWidth="1"/>
    <col min="535" max="535" width="14.1796875" style="7" bestFit="1" customWidth="1"/>
    <col min="536" max="536" width="9.453125" style="7" customWidth="1"/>
    <col min="537" max="537" width="5.81640625" style="7" customWidth="1"/>
    <col min="538" max="538" width="9.81640625" style="7" customWidth="1"/>
    <col min="539" max="539" width="7.453125" style="7" customWidth="1"/>
    <col min="540" max="540" width="9.26953125" style="7" customWidth="1"/>
    <col min="541" max="541" width="5.7265625" style="7" customWidth="1"/>
    <col min="542" max="770" width="8.7265625" style="7"/>
    <col min="771" max="771" width="5.1796875" style="7" customWidth="1"/>
    <col min="772" max="772" width="20.54296875" style="7" customWidth="1"/>
    <col min="773" max="773" width="20.26953125" style="7" customWidth="1"/>
    <col min="774" max="774" width="12.1796875" style="7" customWidth="1"/>
    <col min="775" max="775" width="11.54296875" style="7" customWidth="1"/>
    <col min="776" max="776" width="14.1796875" style="7" bestFit="1" customWidth="1"/>
    <col min="777" max="777" width="11" style="7" customWidth="1"/>
    <col min="778" max="778" width="11.26953125" style="7" customWidth="1"/>
    <col min="779" max="779" width="14.1796875" style="7" bestFit="1" customWidth="1"/>
    <col min="780" max="780" width="10.1796875" style="7" customWidth="1"/>
    <col min="781" max="781" width="8.81640625" style="7" customWidth="1"/>
    <col min="782" max="782" width="14.1796875" style="7" bestFit="1" customWidth="1"/>
    <col min="783" max="784" width="9.453125" style="7" customWidth="1"/>
    <col min="785" max="785" width="14.1796875" style="7" bestFit="1" customWidth="1"/>
    <col min="786" max="786" width="11.54296875" style="7" customWidth="1"/>
    <col min="787" max="787" width="5.7265625" style="7" customWidth="1"/>
    <col min="788" max="788" width="14.1796875" style="7" bestFit="1" customWidth="1"/>
    <col min="789" max="789" width="9" style="7" customWidth="1"/>
    <col min="790" max="790" width="10.1796875" style="7" customWidth="1"/>
    <col min="791" max="791" width="14.1796875" style="7" bestFit="1" customWidth="1"/>
    <col min="792" max="792" width="9.453125" style="7" customWidth="1"/>
    <col min="793" max="793" width="5.81640625" style="7" customWidth="1"/>
    <col min="794" max="794" width="9.81640625" style="7" customWidth="1"/>
    <col min="795" max="795" width="7.453125" style="7" customWidth="1"/>
    <col min="796" max="796" width="9.26953125" style="7" customWidth="1"/>
    <col min="797" max="797" width="5.7265625" style="7" customWidth="1"/>
    <col min="798" max="1026" width="8.7265625" style="7"/>
    <col min="1027" max="1027" width="5.1796875" style="7" customWidth="1"/>
    <col min="1028" max="1028" width="20.54296875" style="7" customWidth="1"/>
    <col min="1029" max="1029" width="20.26953125" style="7" customWidth="1"/>
    <col min="1030" max="1030" width="12.1796875" style="7" customWidth="1"/>
    <col min="1031" max="1031" width="11.54296875" style="7" customWidth="1"/>
    <col min="1032" max="1032" width="14.1796875" style="7" bestFit="1" customWidth="1"/>
    <col min="1033" max="1033" width="11" style="7" customWidth="1"/>
    <col min="1034" max="1034" width="11.26953125" style="7" customWidth="1"/>
    <col min="1035" max="1035" width="14.1796875" style="7" bestFit="1" customWidth="1"/>
    <col min="1036" max="1036" width="10.1796875" style="7" customWidth="1"/>
    <col min="1037" max="1037" width="8.81640625" style="7" customWidth="1"/>
    <col min="1038" max="1038" width="14.1796875" style="7" bestFit="1" customWidth="1"/>
    <col min="1039" max="1040" width="9.453125" style="7" customWidth="1"/>
    <col min="1041" max="1041" width="14.1796875" style="7" bestFit="1" customWidth="1"/>
    <col min="1042" max="1042" width="11.54296875" style="7" customWidth="1"/>
    <col min="1043" max="1043" width="5.7265625" style="7" customWidth="1"/>
    <col min="1044" max="1044" width="14.1796875" style="7" bestFit="1" customWidth="1"/>
    <col min="1045" max="1045" width="9" style="7" customWidth="1"/>
    <col min="1046" max="1046" width="10.1796875" style="7" customWidth="1"/>
    <col min="1047" max="1047" width="14.1796875" style="7" bestFit="1" customWidth="1"/>
    <col min="1048" max="1048" width="9.453125" style="7" customWidth="1"/>
    <col min="1049" max="1049" width="5.81640625" style="7" customWidth="1"/>
    <col min="1050" max="1050" width="9.81640625" style="7" customWidth="1"/>
    <col min="1051" max="1051" width="7.453125" style="7" customWidth="1"/>
    <col min="1052" max="1052" width="9.26953125" style="7" customWidth="1"/>
    <col min="1053" max="1053" width="5.7265625" style="7" customWidth="1"/>
    <col min="1054" max="1282" width="8.7265625" style="7"/>
    <col min="1283" max="1283" width="5.1796875" style="7" customWidth="1"/>
    <col min="1284" max="1284" width="20.54296875" style="7" customWidth="1"/>
    <col min="1285" max="1285" width="20.26953125" style="7" customWidth="1"/>
    <col min="1286" max="1286" width="12.1796875" style="7" customWidth="1"/>
    <col min="1287" max="1287" width="11.54296875" style="7" customWidth="1"/>
    <col min="1288" max="1288" width="14.1796875" style="7" bestFit="1" customWidth="1"/>
    <col min="1289" max="1289" width="11" style="7" customWidth="1"/>
    <col min="1290" max="1290" width="11.26953125" style="7" customWidth="1"/>
    <col min="1291" max="1291" width="14.1796875" style="7" bestFit="1" customWidth="1"/>
    <col min="1292" max="1292" width="10.1796875" style="7" customWidth="1"/>
    <col min="1293" max="1293" width="8.81640625" style="7" customWidth="1"/>
    <col min="1294" max="1294" width="14.1796875" style="7" bestFit="1" customWidth="1"/>
    <col min="1295" max="1296" width="9.453125" style="7" customWidth="1"/>
    <col min="1297" max="1297" width="14.1796875" style="7" bestFit="1" customWidth="1"/>
    <col min="1298" max="1298" width="11.54296875" style="7" customWidth="1"/>
    <col min="1299" max="1299" width="5.7265625" style="7" customWidth="1"/>
    <col min="1300" max="1300" width="14.1796875" style="7" bestFit="1" customWidth="1"/>
    <col min="1301" max="1301" width="9" style="7" customWidth="1"/>
    <col min="1302" max="1302" width="10.1796875" style="7" customWidth="1"/>
    <col min="1303" max="1303" width="14.1796875" style="7" bestFit="1" customWidth="1"/>
    <col min="1304" max="1304" width="9.453125" style="7" customWidth="1"/>
    <col min="1305" max="1305" width="5.81640625" style="7" customWidth="1"/>
    <col min="1306" max="1306" width="9.81640625" style="7" customWidth="1"/>
    <col min="1307" max="1307" width="7.453125" style="7" customWidth="1"/>
    <col min="1308" max="1308" width="9.26953125" style="7" customWidth="1"/>
    <col min="1309" max="1309" width="5.7265625" style="7" customWidth="1"/>
    <col min="1310" max="1538" width="8.7265625" style="7"/>
    <col min="1539" max="1539" width="5.1796875" style="7" customWidth="1"/>
    <col min="1540" max="1540" width="20.54296875" style="7" customWidth="1"/>
    <col min="1541" max="1541" width="20.26953125" style="7" customWidth="1"/>
    <col min="1542" max="1542" width="12.1796875" style="7" customWidth="1"/>
    <col min="1543" max="1543" width="11.54296875" style="7" customWidth="1"/>
    <col min="1544" max="1544" width="14.1796875" style="7" bestFit="1" customWidth="1"/>
    <col min="1545" max="1545" width="11" style="7" customWidth="1"/>
    <col min="1546" max="1546" width="11.26953125" style="7" customWidth="1"/>
    <col min="1547" max="1547" width="14.1796875" style="7" bestFit="1" customWidth="1"/>
    <col min="1548" max="1548" width="10.1796875" style="7" customWidth="1"/>
    <col min="1549" max="1549" width="8.81640625" style="7" customWidth="1"/>
    <col min="1550" max="1550" width="14.1796875" style="7" bestFit="1" customWidth="1"/>
    <col min="1551" max="1552" width="9.453125" style="7" customWidth="1"/>
    <col min="1553" max="1553" width="14.1796875" style="7" bestFit="1" customWidth="1"/>
    <col min="1554" max="1554" width="11.54296875" style="7" customWidth="1"/>
    <col min="1555" max="1555" width="5.7265625" style="7" customWidth="1"/>
    <col min="1556" max="1556" width="14.1796875" style="7" bestFit="1" customWidth="1"/>
    <col min="1557" max="1557" width="9" style="7" customWidth="1"/>
    <col min="1558" max="1558" width="10.1796875" style="7" customWidth="1"/>
    <col min="1559" max="1559" width="14.1796875" style="7" bestFit="1" customWidth="1"/>
    <col min="1560" max="1560" width="9.453125" style="7" customWidth="1"/>
    <col min="1561" max="1561" width="5.81640625" style="7" customWidth="1"/>
    <col min="1562" max="1562" width="9.81640625" style="7" customWidth="1"/>
    <col min="1563" max="1563" width="7.453125" style="7" customWidth="1"/>
    <col min="1564" max="1564" width="9.26953125" style="7" customWidth="1"/>
    <col min="1565" max="1565" width="5.7265625" style="7" customWidth="1"/>
    <col min="1566" max="1794" width="8.7265625" style="7"/>
    <col min="1795" max="1795" width="5.1796875" style="7" customWidth="1"/>
    <col min="1796" max="1796" width="20.54296875" style="7" customWidth="1"/>
    <col min="1797" max="1797" width="20.26953125" style="7" customWidth="1"/>
    <col min="1798" max="1798" width="12.1796875" style="7" customWidth="1"/>
    <col min="1799" max="1799" width="11.54296875" style="7" customWidth="1"/>
    <col min="1800" max="1800" width="14.1796875" style="7" bestFit="1" customWidth="1"/>
    <col min="1801" max="1801" width="11" style="7" customWidth="1"/>
    <col min="1802" max="1802" width="11.26953125" style="7" customWidth="1"/>
    <col min="1803" max="1803" width="14.1796875" style="7" bestFit="1" customWidth="1"/>
    <col min="1804" max="1804" width="10.1796875" style="7" customWidth="1"/>
    <col min="1805" max="1805" width="8.81640625" style="7" customWidth="1"/>
    <col min="1806" max="1806" width="14.1796875" style="7" bestFit="1" customWidth="1"/>
    <col min="1807" max="1808" width="9.453125" style="7" customWidth="1"/>
    <col min="1809" max="1809" width="14.1796875" style="7" bestFit="1" customWidth="1"/>
    <col min="1810" max="1810" width="11.54296875" style="7" customWidth="1"/>
    <col min="1811" max="1811" width="5.7265625" style="7" customWidth="1"/>
    <col min="1812" max="1812" width="14.1796875" style="7" bestFit="1" customWidth="1"/>
    <col min="1813" max="1813" width="9" style="7" customWidth="1"/>
    <col min="1814" max="1814" width="10.1796875" style="7" customWidth="1"/>
    <col min="1815" max="1815" width="14.1796875" style="7" bestFit="1" customWidth="1"/>
    <col min="1816" max="1816" width="9.453125" style="7" customWidth="1"/>
    <col min="1817" max="1817" width="5.81640625" style="7" customWidth="1"/>
    <col min="1818" max="1818" width="9.81640625" style="7" customWidth="1"/>
    <col min="1819" max="1819" width="7.453125" style="7" customWidth="1"/>
    <col min="1820" max="1820" width="9.26953125" style="7" customWidth="1"/>
    <col min="1821" max="1821" width="5.7265625" style="7" customWidth="1"/>
    <col min="1822" max="2050" width="8.7265625" style="7"/>
    <col min="2051" max="2051" width="5.1796875" style="7" customWidth="1"/>
    <col min="2052" max="2052" width="20.54296875" style="7" customWidth="1"/>
    <col min="2053" max="2053" width="20.26953125" style="7" customWidth="1"/>
    <col min="2054" max="2054" width="12.1796875" style="7" customWidth="1"/>
    <col min="2055" max="2055" width="11.54296875" style="7" customWidth="1"/>
    <col min="2056" max="2056" width="14.1796875" style="7" bestFit="1" customWidth="1"/>
    <col min="2057" max="2057" width="11" style="7" customWidth="1"/>
    <col min="2058" max="2058" width="11.26953125" style="7" customWidth="1"/>
    <col min="2059" max="2059" width="14.1796875" style="7" bestFit="1" customWidth="1"/>
    <col min="2060" max="2060" width="10.1796875" style="7" customWidth="1"/>
    <col min="2061" max="2061" width="8.81640625" style="7" customWidth="1"/>
    <col min="2062" max="2062" width="14.1796875" style="7" bestFit="1" customWidth="1"/>
    <col min="2063" max="2064" width="9.453125" style="7" customWidth="1"/>
    <col min="2065" max="2065" width="14.1796875" style="7" bestFit="1" customWidth="1"/>
    <col min="2066" max="2066" width="11.54296875" style="7" customWidth="1"/>
    <col min="2067" max="2067" width="5.7265625" style="7" customWidth="1"/>
    <col min="2068" max="2068" width="14.1796875" style="7" bestFit="1" customWidth="1"/>
    <col min="2069" max="2069" width="9" style="7" customWidth="1"/>
    <col min="2070" max="2070" width="10.1796875" style="7" customWidth="1"/>
    <col min="2071" max="2071" width="14.1796875" style="7" bestFit="1" customWidth="1"/>
    <col min="2072" max="2072" width="9.453125" style="7" customWidth="1"/>
    <col min="2073" max="2073" width="5.81640625" style="7" customWidth="1"/>
    <col min="2074" max="2074" width="9.81640625" style="7" customWidth="1"/>
    <col min="2075" max="2075" width="7.453125" style="7" customWidth="1"/>
    <col min="2076" max="2076" width="9.26953125" style="7" customWidth="1"/>
    <col min="2077" max="2077" width="5.7265625" style="7" customWidth="1"/>
    <col min="2078" max="2306" width="8.7265625" style="7"/>
    <col min="2307" max="2307" width="5.1796875" style="7" customWidth="1"/>
    <col min="2308" max="2308" width="20.54296875" style="7" customWidth="1"/>
    <col min="2309" max="2309" width="20.26953125" style="7" customWidth="1"/>
    <col min="2310" max="2310" width="12.1796875" style="7" customWidth="1"/>
    <col min="2311" max="2311" width="11.54296875" style="7" customWidth="1"/>
    <col min="2312" max="2312" width="14.1796875" style="7" bestFit="1" customWidth="1"/>
    <col min="2313" max="2313" width="11" style="7" customWidth="1"/>
    <col min="2314" max="2314" width="11.26953125" style="7" customWidth="1"/>
    <col min="2315" max="2315" width="14.1796875" style="7" bestFit="1" customWidth="1"/>
    <col min="2316" max="2316" width="10.1796875" style="7" customWidth="1"/>
    <col min="2317" max="2317" width="8.81640625" style="7" customWidth="1"/>
    <col min="2318" max="2318" width="14.1796875" style="7" bestFit="1" customWidth="1"/>
    <col min="2319" max="2320" width="9.453125" style="7" customWidth="1"/>
    <col min="2321" max="2321" width="14.1796875" style="7" bestFit="1" customWidth="1"/>
    <col min="2322" max="2322" width="11.54296875" style="7" customWidth="1"/>
    <col min="2323" max="2323" width="5.7265625" style="7" customWidth="1"/>
    <col min="2324" max="2324" width="14.1796875" style="7" bestFit="1" customWidth="1"/>
    <col min="2325" max="2325" width="9" style="7" customWidth="1"/>
    <col min="2326" max="2326" width="10.1796875" style="7" customWidth="1"/>
    <col min="2327" max="2327" width="14.1796875" style="7" bestFit="1" customWidth="1"/>
    <col min="2328" max="2328" width="9.453125" style="7" customWidth="1"/>
    <col min="2329" max="2329" width="5.81640625" style="7" customWidth="1"/>
    <col min="2330" max="2330" width="9.81640625" style="7" customWidth="1"/>
    <col min="2331" max="2331" width="7.453125" style="7" customWidth="1"/>
    <col min="2332" max="2332" width="9.26953125" style="7" customWidth="1"/>
    <col min="2333" max="2333" width="5.7265625" style="7" customWidth="1"/>
    <col min="2334" max="2562" width="8.7265625" style="7"/>
    <col min="2563" max="2563" width="5.1796875" style="7" customWidth="1"/>
    <col min="2564" max="2564" width="20.54296875" style="7" customWidth="1"/>
    <col min="2565" max="2565" width="20.26953125" style="7" customWidth="1"/>
    <col min="2566" max="2566" width="12.1796875" style="7" customWidth="1"/>
    <col min="2567" max="2567" width="11.54296875" style="7" customWidth="1"/>
    <col min="2568" max="2568" width="14.1796875" style="7" bestFit="1" customWidth="1"/>
    <col min="2569" max="2569" width="11" style="7" customWidth="1"/>
    <col min="2570" max="2570" width="11.26953125" style="7" customWidth="1"/>
    <col min="2571" max="2571" width="14.1796875" style="7" bestFit="1" customWidth="1"/>
    <col min="2572" max="2572" width="10.1796875" style="7" customWidth="1"/>
    <col min="2573" max="2573" width="8.81640625" style="7" customWidth="1"/>
    <col min="2574" max="2574" width="14.1796875" style="7" bestFit="1" customWidth="1"/>
    <col min="2575" max="2576" width="9.453125" style="7" customWidth="1"/>
    <col min="2577" max="2577" width="14.1796875" style="7" bestFit="1" customWidth="1"/>
    <col min="2578" max="2578" width="11.54296875" style="7" customWidth="1"/>
    <col min="2579" max="2579" width="5.7265625" style="7" customWidth="1"/>
    <col min="2580" max="2580" width="14.1796875" style="7" bestFit="1" customWidth="1"/>
    <col min="2581" max="2581" width="9" style="7" customWidth="1"/>
    <col min="2582" max="2582" width="10.1796875" style="7" customWidth="1"/>
    <col min="2583" max="2583" width="14.1796875" style="7" bestFit="1" customWidth="1"/>
    <col min="2584" max="2584" width="9.453125" style="7" customWidth="1"/>
    <col min="2585" max="2585" width="5.81640625" style="7" customWidth="1"/>
    <col min="2586" max="2586" width="9.81640625" style="7" customWidth="1"/>
    <col min="2587" max="2587" width="7.453125" style="7" customWidth="1"/>
    <col min="2588" max="2588" width="9.26953125" style="7" customWidth="1"/>
    <col min="2589" max="2589" width="5.7265625" style="7" customWidth="1"/>
    <col min="2590" max="2818" width="8.7265625" style="7"/>
    <col min="2819" max="2819" width="5.1796875" style="7" customWidth="1"/>
    <col min="2820" max="2820" width="20.54296875" style="7" customWidth="1"/>
    <col min="2821" max="2821" width="20.26953125" style="7" customWidth="1"/>
    <col min="2822" max="2822" width="12.1796875" style="7" customWidth="1"/>
    <col min="2823" max="2823" width="11.54296875" style="7" customWidth="1"/>
    <col min="2824" max="2824" width="14.1796875" style="7" bestFit="1" customWidth="1"/>
    <col min="2825" max="2825" width="11" style="7" customWidth="1"/>
    <col min="2826" max="2826" width="11.26953125" style="7" customWidth="1"/>
    <col min="2827" max="2827" width="14.1796875" style="7" bestFit="1" customWidth="1"/>
    <col min="2828" max="2828" width="10.1796875" style="7" customWidth="1"/>
    <col min="2829" max="2829" width="8.81640625" style="7" customWidth="1"/>
    <col min="2830" max="2830" width="14.1796875" style="7" bestFit="1" customWidth="1"/>
    <col min="2831" max="2832" width="9.453125" style="7" customWidth="1"/>
    <col min="2833" max="2833" width="14.1796875" style="7" bestFit="1" customWidth="1"/>
    <col min="2834" max="2834" width="11.54296875" style="7" customWidth="1"/>
    <col min="2835" max="2835" width="5.7265625" style="7" customWidth="1"/>
    <col min="2836" max="2836" width="14.1796875" style="7" bestFit="1" customWidth="1"/>
    <col min="2837" max="2837" width="9" style="7" customWidth="1"/>
    <col min="2838" max="2838" width="10.1796875" style="7" customWidth="1"/>
    <col min="2839" max="2839" width="14.1796875" style="7" bestFit="1" customWidth="1"/>
    <col min="2840" max="2840" width="9.453125" style="7" customWidth="1"/>
    <col min="2841" max="2841" width="5.81640625" style="7" customWidth="1"/>
    <col min="2842" max="2842" width="9.81640625" style="7" customWidth="1"/>
    <col min="2843" max="2843" width="7.453125" style="7" customWidth="1"/>
    <col min="2844" max="2844" width="9.26953125" style="7" customWidth="1"/>
    <col min="2845" max="2845" width="5.7265625" style="7" customWidth="1"/>
    <col min="2846" max="3074" width="8.7265625" style="7"/>
    <col min="3075" max="3075" width="5.1796875" style="7" customWidth="1"/>
    <col min="3076" max="3076" width="20.54296875" style="7" customWidth="1"/>
    <col min="3077" max="3077" width="20.26953125" style="7" customWidth="1"/>
    <col min="3078" max="3078" width="12.1796875" style="7" customWidth="1"/>
    <col min="3079" max="3079" width="11.54296875" style="7" customWidth="1"/>
    <col min="3080" max="3080" width="14.1796875" style="7" bestFit="1" customWidth="1"/>
    <col min="3081" max="3081" width="11" style="7" customWidth="1"/>
    <col min="3082" max="3082" width="11.26953125" style="7" customWidth="1"/>
    <col min="3083" max="3083" width="14.1796875" style="7" bestFit="1" customWidth="1"/>
    <col min="3084" max="3084" width="10.1796875" style="7" customWidth="1"/>
    <col min="3085" max="3085" width="8.81640625" style="7" customWidth="1"/>
    <col min="3086" max="3086" width="14.1796875" style="7" bestFit="1" customWidth="1"/>
    <col min="3087" max="3088" width="9.453125" style="7" customWidth="1"/>
    <col min="3089" max="3089" width="14.1796875" style="7" bestFit="1" customWidth="1"/>
    <col min="3090" max="3090" width="11.54296875" style="7" customWidth="1"/>
    <col min="3091" max="3091" width="5.7265625" style="7" customWidth="1"/>
    <col min="3092" max="3092" width="14.1796875" style="7" bestFit="1" customWidth="1"/>
    <col min="3093" max="3093" width="9" style="7" customWidth="1"/>
    <col min="3094" max="3094" width="10.1796875" style="7" customWidth="1"/>
    <col min="3095" max="3095" width="14.1796875" style="7" bestFit="1" customWidth="1"/>
    <col min="3096" max="3096" width="9.453125" style="7" customWidth="1"/>
    <col min="3097" max="3097" width="5.81640625" style="7" customWidth="1"/>
    <col min="3098" max="3098" width="9.81640625" style="7" customWidth="1"/>
    <col min="3099" max="3099" width="7.453125" style="7" customWidth="1"/>
    <col min="3100" max="3100" width="9.26953125" style="7" customWidth="1"/>
    <col min="3101" max="3101" width="5.7265625" style="7" customWidth="1"/>
    <col min="3102" max="3330" width="8.7265625" style="7"/>
    <col min="3331" max="3331" width="5.1796875" style="7" customWidth="1"/>
    <col min="3332" max="3332" width="20.54296875" style="7" customWidth="1"/>
    <col min="3333" max="3333" width="20.26953125" style="7" customWidth="1"/>
    <col min="3334" max="3334" width="12.1796875" style="7" customWidth="1"/>
    <col min="3335" max="3335" width="11.54296875" style="7" customWidth="1"/>
    <col min="3336" max="3336" width="14.1796875" style="7" bestFit="1" customWidth="1"/>
    <col min="3337" max="3337" width="11" style="7" customWidth="1"/>
    <col min="3338" max="3338" width="11.26953125" style="7" customWidth="1"/>
    <col min="3339" max="3339" width="14.1796875" style="7" bestFit="1" customWidth="1"/>
    <col min="3340" max="3340" width="10.1796875" style="7" customWidth="1"/>
    <col min="3341" max="3341" width="8.81640625" style="7" customWidth="1"/>
    <col min="3342" max="3342" width="14.1796875" style="7" bestFit="1" customWidth="1"/>
    <col min="3343" max="3344" width="9.453125" style="7" customWidth="1"/>
    <col min="3345" max="3345" width="14.1796875" style="7" bestFit="1" customWidth="1"/>
    <col min="3346" max="3346" width="11.54296875" style="7" customWidth="1"/>
    <col min="3347" max="3347" width="5.7265625" style="7" customWidth="1"/>
    <col min="3348" max="3348" width="14.1796875" style="7" bestFit="1" customWidth="1"/>
    <col min="3349" max="3349" width="9" style="7" customWidth="1"/>
    <col min="3350" max="3350" width="10.1796875" style="7" customWidth="1"/>
    <col min="3351" max="3351" width="14.1796875" style="7" bestFit="1" customWidth="1"/>
    <col min="3352" max="3352" width="9.453125" style="7" customWidth="1"/>
    <col min="3353" max="3353" width="5.81640625" style="7" customWidth="1"/>
    <col min="3354" max="3354" width="9.81640625" style="7" customWidth="1"/>
    <col min="3355" max="3355" width="7.453125" style="7" customWidth="1"/>
    <col min="3356" max="3356" width="9.26953125" style="7" customWidth="1"/>
    <col min="3357" max="3357" width="5.7265625" style="7" customWidth="1"/>
    <col min="3358" max="3586" width="8.7265625" style="7"/>
    <col min="3587" max="3587" width="5.1796875" style="7" customWidth="1"/>
    <col min="3588" max="3588" width="20.54296875" style="7" customWidth="1"/>
    <col min="3589" max="3589" width="20.26953125" style="7" customWidth="1"/>
    <col min="3590" max="3590" width="12.1796875" style="7" customWidth="1"/>
    <col min="3591" max="3591" width="11.54296875" style="7" customWidth="1"/>
    <col min="3592" max="3592" width="14.1796875" style="7" bestFit="1" customWidth="1"/>
    <col min="3593" max="3593" width="11" style="7" customWidth="1"/>
    <col min="3594" max="3594" width="11.26953125" style="7" customWidth="1"/>
    <col min="3595" max="3595" width="14.1796875" style="7" bestFit="1" customWidth="1"/>
    <col min="3596" max="3596" width="10.1796875" style="7" customWidth="1"/>
    <col min="3597" max="3597" width="8.81640625" style="7" customWidth="1"/>
    <col min="3598" max="3598" width="14.1796875" style="7" bestFit="1" customWidth="1"/>
    <col min="3599" max="3600" width="9.453125" style="7" customWidth="1"/>
    <col min="3601" max="3601" width="14.1796875" style="7" bestFit="1" customWidth="1"/>
    <col min="3602" max="3602" width="11.54296875" style="7" customWidth="1"/>
    <col min="3603" max="3603" width="5.7265625" style="7" customWidth="1"/>
    <col min="3604" max="3604" width="14.1796875" style="7" bestFit="1" customWidth="1"/>
    <col min="3605" max="3605" width="9" style="7" customWidth="1"/>
    <col min="3606" max="3606" width="10.1796875" style="7" customWidth="1"/>
    <col min="3607" max="3607" width="14.1796875" style="7" bestFit="1" customWidth="1"/>
    <col min="3608" max="3608" width="9.453125" style="7" customWidth="1"/>
    <col min="3609" max="3609" width="5.81640625" style="7" customWidth="1"/>
    <col min="3610" max="3610" width="9.81640625" style="7" customWidth="1"/>
    <col min="3611" max="3611" width="7.453125" style="7" customWidth="1"/>
    <col min="3612" max="3612" width="9.26953125" style="7" customWidth="1"/>
    <col min="3613" max="3613" width="5.7265625" style="7" customWidth="1"/>
    <col min="3614" max="3842" width="8.7265625" style="7"/>
    <col min="3843" max="3843" width="5.1796875" style="7" customWidth="1"/>
    <col min="3844" max="3844" width="20.54296875" style="7" customWidth="1"/>
    <col min="3845" max="3845" width="20.26953125" style="7" customWidth="1"/>
    <col min="3846" max="3846" width="12.1796875" style="7" customWidth="1"/>
    <col min="3847" max="3847" width="11.54296875" style="7" customWidth="1"/>
    <col min="3848" max="3848" width="14.1796875" style="7" bestFit="1" customWidth="1"/>
    <col min="3849" max="3849" width="11" style="7" customWidth="1"/>
    <col min="3850" max="3850" width="11.26953125" style="7" customWidth="1"/>
    <col min="3851" max="3851" width="14.1796875" style="7" bestFit="1" customWidth="1"/>
    <col min="3852" max="3852" width="10.1796875" style="7" customWidth="1"/>
    <col min="3853" max="3853" width="8.81640625" style="7" customWidth="1"/>
    <col min="3854" max="3854" width="14.1796875" style="7" bestFit="1" customWidth="1"/>
    <col min="3855" max="3856" width="9.453125" style="7" customWidth="1"/>
    <col min="3857" max="3857" width="14.1796875" style="7" bestFit="1" customWidth="1"/>
    <col min="3858" max="3858" width="11.54296875" style="7" customWidth="1"/>
    <col min="3859" max="3859" width="5.7265625" style="7" customWidth="1"/>
    <col min="3860" max="3860" width="14.1796875" style="7" bestFit="1" customWidth="1"/>
    <col min="3861" max="3861" width="9" style="7" customWidth="1"/>
    <col min="3862" max="3862" width="10.1796875" style="7" customWidth="1"/>
    <col min="3863" max="3863" width="14.1796875" style="7" bestFit="1" customWidth="1"/>
    <col min="3864" max="3864" width="9.453125" style="7" customWidth="1"/>
    <col min="3865" max="3865" width="5.81640625" style="7" customWidth="1"/>
    <col min="3866" max="3866" width="9.81640625" style="7" customWidth="1"/>
    <col min="3867" max="3867" width="7.453125" style="7" customWidth="1"/>
    <col min="3868" max="3868" width="9.26953125" style="7" customWidth="1"/>
    <col min="3869" max="3869" width="5.7265625" style="7" customWidth="1"/>
    <col min="3870" max="4098" width="8.7265625" style="7"/>
    <col min="4099" max="4099" width="5.1796875" style="7" customWidth="1"/>
    <col min="4100" max="4100" width="20.54296875" style="7" customWidth="1"/>
    <col min="4101" max="4101" width="20.26953125" style="7" customWidth="1"/>
    <col min="4102" max="4102" width="12.1796875" style="7" customWidth="1"/>
    <col min="4103" max="4103" width="11.54296875" style="7" customWidth="1"/>
    <col min="4104" max="4104" width="14.1796875" style="7" bestFit="1" customWidth="1"/>
    <col min="4105" max="4105" width="11" style="7" customWidth="1"/>
    <col min="4106" max="4106" width="11.26953125" style="7" customWidth="1"/>
    <col min="4107" max="4107" width="14.1796875" style="7" bestFit="1" customWidth="1"/>
    <col min="4108" max="4108" width="10.1796875" style="7" customWidth="1"/>
    <col min="4109" max="4109" width="8.81640625" style="7" customWidth="1"/>
    <col min="4110" max="4110" width="14.1796875" style="7" bestFit="1" customWidth="1"/>
    <col min="4111" max="4112" width="9.453125" style="7" customWidth="1"/>
    <col min="4113" max="4113" width="14.1796875" style="7" bestFit="1" customWidth="1"/>
    <col min="4114" max="4114" width="11.54296875" style="7" customWidth="1"/>
    <col min="4115" max="4115" width="5.7265625" style="7" customWidth="1"/>
    <col min="4116" max="4116" width="14.1796875" style="7" bestFit="1" customWidth="1"/>
    <col min="4117" max="4117" width="9" style="7" customWidth="1"/>
    <col min="4118" max="4118" width="10.1796875" style="7" customWidth="1"/>
    <col min="4119" max="4119" width="14.1796875" style="7" bestFit="1" customWidth="1"/>
    <col min="4120" max="4120" width="9.453125" style="7" customWidth="1"/>
    <col min="4121" max="4121" width="5.81640625" style="7" customWidth="1"/>
    <col min="4122" max="4122" width="9.81640625" style="7" customWidth="1"/>
    <col min="4123" max="4123" width="7.453125" style="7" customWidth="1"/>
    <col min="4124" max="4124" width="9.26953125" style="7" customWidth="1"/>
    <col min="4125" max="4125" width="5.7265625" style="7" customWidth="1"/>
    <col min="4126" max="4354" width="8.7265625" style="7"/>
    <col min="4355" max="4355" width="5.1796875" style="7" customWidth="1"/>
    <col min="4356" max="4356" width="20.54296875" style="7" customWidth="1"/>
    <col min="4357" max="4357" width="20.26953125" style="7" customWidth="1"/>
    <col min="4358" max="4358" width="12.1796875" style="7" customWidth="1"/>
    <col min="4359" max="4359" width="11.54296875" style="7" customWidth="1"/>
    <col min="4360" max="4360" width="14.1796875" style="7" bestFit="1" customWidth="1"/>
    <col min="4361" max="4361" width="11" style="7" customWidth="1"/>
    <col min="4362" max="4362" width="11.26953125" style="7" customWidth="1"/>
    <col min="4363" max="4363" width="14.1796875" style="7" bestFit="1" customWidth="1"/>
    <col min="4364" max="4364" width="10.1796875" style="7" customWidth="1"/>
    <col min="4365" max="4365" width="8.81640625" style="7" customWidth="1"/>
    <col min="4366" max="4366" width="14.1796875" style="7" bestFit="1" customWidth="1"/>
    <col min="4367" max="4368" width="9.453125" style="7" customWidth="1"/>
    <col min="4369" max="4369" width="14.1796875" style="7" bestFit="1" customWidth="1"/>
    <col min="4370" max="4370" width="11.54296875" style="7" customWidth="1"/>
    <col min="4371" max="4371" width="5.7265625" style="7" customWidth="1"/>
    <col min="4372" max="4372" width="14.1796875" style="7" bestFit="1" customWidth="1"/>
    <col min="4373" max="4373" width="9" style="7" customWidth="1"/>
    <col min="4374" max="4374" width="10.1796875" style="7" customWidth="1"/>
    <col min="4375" max="4375" width="14.1796875" style="7" bestFit="1" customWidth="1"/>
    <col min="4376" max="4376" width="9.453125" style="7" customWidth="1"/>
    <col min="4377" max="4377" width="5.81640625" style="7" customWidth="1"/>
    <col min="4378" max="4378" width="9.81640625" style="7" customWidth="1"/>
    <col min="4379" max="4379" width="7.453125" style="7" customWidth="1"/>
    <col min="4380" max="4380" width="9.26953125" style="7" customWidth="1"/>
    <col min="4381" max="4381" width="5.7265625" style="7" customWidth="1"/>
    <col min="4382" max="4610" width="8.7265625" style="7"/>
    <col min="4611" max="4611" width="5.1796875" style="7" customWidth="1"/>
    <col min="4612" max="4612" width="20.54296875" style="7" customWidth="1"/>
    <col min="4613" max="4613" width="20.26953125" style="7" customWidth="1"/>
    <col min="4614" max="4614" width="12.1796875" style="7" customWidth="1"/>
    <col min="4615" max="4615" width="11.54296875" style="7" customWidth="1"/>
    <col min="4616" max="4616" width="14.1796875" style="7" bestFit="1" customWidth="1"/>
    <col min="4617" max="4617" width="11" style="7" customWidth="1"/>
    <col min="4618" max="4618" width="11.26953125" style="7" customWidth="1"/>
    <col min="4619" max="4619" width="14.1796875" style="7" bestFit="1" customWidth="1"/>
    <col min="4620" max="4620" width="10.1796875" style="7" customWidth="1"/>
    <col min="4621" max="4621" width="8.81640625" style="7" customWidth="1"/>
    <col min="4622" max="4622" width="14.1796875" style="7" bestFit="1" customWidth="1"/>
    <col min="4623" max="4624" width="9.453125" style="7" customWidth="1"/>
    <col min="4625" max="4625" width="14.1796875" style="7" bestFit="1" customWidth="1"/>
    <col min="4626" max="4626" width="11.54296875" style="7" customWidth="1"/>
    <col min="4627" max="4627" width="5.7265625" style="7" customWidth="1"/>
    <col min="4628" max="4628" width="14.1796875" style="7" bestFit="1" customWidth="1"/>
    <col min="4629" max="4629" width="9" style="7" customWidth="1"/>
    <col min="4630" max="4630" width="10.1796875" style="7" customWidth="1"/>
    <col min="4631" max="4631" width="14.1796875" style="7" bestFit="1" customWidth="1"/>
    <col min="4632" max="4632" width="9.453125" style="7" customWidth="1"/>
    <col min="4633" max="4633" width="5.81640625" style="7" customWidth="1"/>
    <col min="4634" max="4634" width="9.81640625" style="7" customWidth="1"/>
    <col min="4635" max="4635" width="7.453125" style="7" customWidth="1"/>
    <col min="4636" max="4636" width="9.26953125" style="7" customWidth="1"/>
    <col min="4637" max="4637" width="5.7265625" style="7" customWidth="1"/>
    <col min="4638" max="4866" width="8.7265625" style="7"/>
    <col min="4867" max="4867" width="5.1796875" style="7" customWidth="1"/>
    <col min="4868" max="4868" width="20.54296875" style="7" customWidth="1"/>
    <col min="4869" max="4869" width="20.26953125" style="7" customWidth="1"/>
    <col min="4870" max="4870" width="12.1796875" style="7" customWidth="1"/>
    <col min="4871" max="4871" width="11.54296875" style="7" customWidth="1"/>
    <col min="4872" max="4872" width="14.1796875" style="7" bestFit="1" customWidth="1"/>
    <col min="4873" max="4873" width="11" style="7" customWidth="1"/>
    <col min="4874" max="4874" width="11.26953125" style="7" customWidth="1"/>
    <col min="4875" max="4875" width="14.1796875" style="7" bestFit="1" customWidth="1"/>
    <col min="4876" max="4876" width="10.1796875" style="7" customWidth="1"/>
    <col min="4877" max="4877" width="8.81640625" style="7" customWidth="1"/>
    <col min="4878" max="4878" width="14.1796875" style="7" bestFit="1" customWidth="1"/>
    <col min="4879" max="4880" width="9.453125" style="7" customWidth="1"/>
    <col min="4881" max="4881" width="14.1796875" style="7" bestFit="1" customWidth="1"/>
    <col min="4882" max="4882" width="11.54296875" style="7" customWidth="1"/>
    <col min="4883" max="4883" width="5.7265625" style="7" customWidth="1"/>
    <col min="4884" max="4884" width="14.1796875" style="7" bestFit="1" customWidth="1"/>
    <col min="4885" max="4885" width="9" style="7" customWidth="1"/>
    <col min="4886" max="4886" width="10.1796875" style="7" customWidth="1"/>
    <col min="4887" max="4887" width="14.1796875" style="7" bestFit="1" customWidth="1"/>
    <col min="4888" max="4888" width="9.453125" style="7" customWidth="1"/>
    <col min="4889" max="4889" width="5.81640625" style="7" customWidth="1"/>
    <col min="4890" max="4890" width="9.81640625" style="7" customWidth="1"/>
    <col min="4891" max="4891" width="7.453125" style="7" customWidth="1"/>
    <col min="4892" max="4892" width="9.26953125" style="7" customWidth="1"/>
    <col min="4893" max="4893" width="5.7265625" style="7" customWidth="1"/>
    <col min="4894" max="5122" width="8.7265625" style="7"/>
    <col min="5123" max="5123" width="5.1796875" style="7" customWidth="1"/>
    <col min="5124" max="5124" width="20.54296875" style="7" customWidth="1"/>
    <col min="5125" max="5125" width="20.26953125" style="7" customWidth="1"/>
    <col min="5126" max="5126" width="12.1796875" style="7" customWidth="1"/>
    <col min="5127" max="5127" width="11.54296875" style="7" customWidth="1"/>
    <col min="5128" max="5128" width="14.1796875" style="7" bestFit="1" customWidth="1"/>
    <col min="5129" max="5129" width="11" style="7" customWidth="1"/>
    <col min="5130" max="5130" width="11.26953125" style="7" customWidth="1"/>
    <col min="5131" max="5131" width="14.1796875" style="7" bestFit="1" customWidth="1"/>
    <col min="5132" max="5132" width="10.1796875" style="7" customWidth="1"/>
    <col min="5133" max="5133" width="8.81640625" style="7" customWidth="1"/>
    <col min="5134" max="5134" width="14.1796875" style="7" bestFit="1" customWidth="1"/>
    <col min="5135" max="5136" width="9.453125" style="7" customWidth="1"/>
    <col min="5137" max="5137" width="14.1796875" style="7" bestFit="1" customWidth="1"/>
    <col min="5138" max="5138" width="11.54296875" style="7" customWidth="1"/>
    <col min="5139" max="5139" width="5.7265625" style="7" customWidth="1"/>
    <col min="5140" max="5140" width="14.1796875" style="7" bestFit="1" customWidth="1"/>
    <col min="5141" max="5141" width="9" style="7" customWidth="1"/>
    <col min="5142" max="5142" width="10.1796875" style="7" customWidth="1"/>
    <col min="5143" max="5143" width="14.1796875" style="7" bestFit="1" customWidth="1"/>
    <col min="5144" max="5144" width="9.453125" style="7" customWidth="1"/>
    <col min="5145" max="5145" width="5.81640625" style="7" customWidth="1"/>
    <col min="5146" max="5146" width="9.81640625" style="7" customWidth="1"/>
    <col min="5147" max="5147" width="7.453125" style="7" customWidth="1"/>
    <col min="5148" max="5148" width="9.26953125" style="7" customWidth="1"/>
    <col min="5149" max="5149" width="5.7265625" style="7" customWidth="1"/>
    <col min="5150" max="5378" width="8.7265625" style="7"/>
    <col min="5379" max="5379" width="5.1796875" style="7" customWidth="1"/>
    <col min="5380" max="5380" width="20.54296875" style="7" customWidth="1"/>
    <col min="5381" max="5381" width="20.26953125" style="7" customWidth="1"/>
    <col min="5382" max="5382" width="12.1796875" style="7" customWidth="1"/>
    <col min="5383" max="5383" width="11.54296875" style="7" customWidth="1"/>
    <col min="5384" max="5384" width="14.1796875" style="7" bestFit="1" customWidth="1"/>
    <col min="5385" max="5385" width="11" style="7" customWidth="1"/>
    <col min="5386" max="5386" width="11.26953125" style="7" customWidth="1"/>
    <col min="5387" max="5387" width="14.1796875" style="7" bestFit="1" customWidth="1"/>
    <col min="5388" max="5388" width="10.1796875" style="7" customWidth="1"/>
    <col min="5389" max="5389" width="8.81640625" style="7" customWidth="1"/>
    <col min="5390" max="5390" width="14.1796875" style="7" bestFit="1" customWidth="1"/>
    <col min="5391" max="5392" width="9.453125" style="7" customWidth="1"/>
    <col min="5393" max="5393" width="14.1796875" style="7" bestFit="1" customWidth="1"/>
    <col min="5394" max="5394" width="11.54296875" style="7" customWidth="1"/>
    <col min="5395" max="5395" width="5.7265625" style="7" customWidth="1"/>
    <col min="5396" max="5396" width="14.1796875" style="7" bestFit="1" customWidth="1"/>
    <col min="5397" max="5397" width="9" style="7" customWidth="1"/>
    <col min="5398" max="5398" width="10.1796875" style="7" customWidth="1"/>
    <col min="5399" max="5399" width="14.1796875" style="7" bestFit="1" customWidth="1"/>
    <col min="5400" max="5400" width="9.453125" style="7" customWidth="1"/>
    <col min="5401" max="5401" width="5.81640625" style="7" customWidth="1"/>
    <col min="5402" max="5402" width="9.81640625" style="7" customWidth="1"/>
    <col min="5403" max="5403" width="7.453125" style="7" customWidth="1"/>
    <col min="5404" max="5404" width="9.26953125" style="7" customWidth="1"/>
    <col min="5405" max="5405" width="5.7265625" style="7" customWidth="1"/>
    <col min="5406" max="5634" width="8.7265625" style="7"/>
    <col min="5635" max="5635" width="5.1796875" style="7" customWidth="1"/>
    <col min="5636" max="5636" width="20.54296875" style="7" customWidth="1"/>
    <col min="5637" max="5637" width="20.26953125" style="7" customWidth="1"/>
    <col min="5638" max="5638" width="12.1796875" style="7" customWidth="1"/>
    <col min="5639" max="5639" width="11.54296875" style="7" customWidth="1"/>
    <col min="5640" max="5640" width="14.1796875" style="7" bestFit="1" customWidth="1"/>
    <col min="5641" max="5641" width="11" style="7" customWidth="1"/>
    <col min="5642" max="5642" width="11.26953125" style="7" customWidth="1"/>
    <col min="5643" max="5643" width="14.1796875" style="7" bestFit="1" customWidth="1"/>
    <col min="5644" max="5644" width="10.1796875" style="7" customWidth="1"/>
    <col min="5645" max="5645" width="8.81640625" style="7" customWidth="1"/>
    <col min="5646" max="5646" width="14.1796875" style="7" bestFit="1" customWidth="1"/>
    <col min="5647" max="5648" width="9.453125" style="7" customWidth="1"/>
    <col min="5649" max="5649" width="14.1796875" style="7" bestFit="1" customWidth="1"/>
    <col min="5650" max="5650" width="11.54296875" style="7" customWidth="1"/>
    <col min="5651" max="5651" width="5.7265625" style="7" customWidth="1"/>
    <col min="5652" max="5652" width="14.1796875" style="7" bestFit="1" customWidth="1"/>
    <col min="5653" max="5653" width="9" style="7" customWidth="1"/>
    <col min="5654" max="5654" width="10.1796875" style="7" customWidth="1"/>
    <col min="5655" max="5655" width="14.1796875" style="7" bestFit="1" customWidth="1"/>
    <col min="5656" max="5656" width="9.453125" style="7" customWidth="1"/>
    <col min="5657" max="5657" width="5.81640625" style="7" customWidth="1"/>
    <col min="5658" max="5658" width="9.81640625" style="7" customWidth="1"/>
    <col min="5659" max="5659" width="7.453125" style="7" customWidth="1"/>
    <col min="5660" max="5660" width="9.26953125" style="7" customWidth="1"/>
    <col min="5661" max="5661" width="5.7265625" style="7" customWidth="1"/>
    <col min="5662" max="5890" width="8.7265625" style="7"/>
    <col min="5891" max="5891" width="5.1796875" style="7" customWidth="1"/>
    <col min="5892" max="5892" width="20.54296875" style="7" customWidth="1"/>
    <col min="5893" max="5893" width="20.26953125" style="7" customWidth="1"/>
    <col min="5894" max="5894" width="12.1796875" style="7" customWidth="1"/>
    <col min="5895" max="5895" width="11.54296875" style="7" customWidth="1"/>
    <col min="5896" max="5896" width="14.1796875" style="7" bestFit="1" customWidth="1"/>
    <col min="5897" max="5897" width="11" style="7" customWidth="1"/>
    <col min="5898" max="5898" width="11.26953125" style="7" customWidth="1"/>
    <col min="5899" max="5899" width="14.1796875" style="7" bestFit="1" customWidth="1"/>
    <col min="5900" max="5900" width="10.1796875" style="7" customWidth="1"/>
    <col min="5901" max="5901" width="8.81640625" style="7" customWidth="1"/>
    <col min="5902" max="5902" width="14.1796875" style="7" bestFit="1" customWidth="1"/>
    <col min="5903" max="5904" width="9.453125" style="7" customWidth="1"/>
    <col min="5905" max="5905" width="14.1796875" style="7" bestFit="1" customWidth="1"/>
    <col min="5906" max="5906" width="11.54296875" style="7" customWidth="1"/>
    <col min="5907" max="5907" width="5.7265625" style="7" customWidth="1"/>
    <col min="5908" max="5908" width="14.1796875" style="7" bestFit="1" customWidth="1"/>
    <col min="5909" max="5909" width="9" style="7" customWidth="1"/>
    <col min="5910" max="5910" width="10.1796875" style="7" customWidth="1"/>
    <col min="5911" max="5911" width="14.1796875" style="7" bestFit="1" customWidth="1"/>
    <col min="5912" max="5912" width="9.453125" style="7" customWidth="1"/>
    <col min="5913" max="5913" width="5.81640625" style="7" customWidth="1"/>
    <col min="5914" max="5914" width="9.81640625" style="7" customWidth="1"/>
    <col min="5915" max="5915" width="7.453125" style="7" customWidth="1"/>
    <col min="5916" max="5916" width="9.26953125" style="7" customWidth="1"/>
    <col min="5917" max="5917" width="5.7265625" style="7" customWidth="1"/>
    <col min="5918" max="6146" width="8.7265625" style="7"/>
    <col min="6147" max="6147" width="5.1796875" style="7" customWidth="1"/>
    <col min="6148" max="6148" width="20.54296875" style="7" customWidth="1"/>
    <col min="6149" max="6149" width="20.26953125" style="7" customWidth="1"/>
    <col min="6150" max="6150" width="12.1796875" style="7" customWidth="1"/>
    <col min="6151" max="6151" width="11.54296875" style="7" customWidth="1"/>
    <col min="6152" max="6152" width="14.1796875" style="7" bestFit="1" customWidth="1"/>
    <col min="6153" max="6153" width="11" style="7" customWidth="1"/>
    <col min="6154" max="6154" width="11.26953125" style="7" customWidth="1"/>
    <col min="6155" max="6155" width="14.1796875" style="7" bestFit="1" customWidth="1"/>
    <col min="6156" max="6156" width="10.1796875" style="7" customWidth="1"/>
    <col min="6157" max="6157" width="8.81640625" style="7" customWidth="1"/>
    <col min="6158" max="6158" width="14.1796875" style="7" bestFit="1" customWidth="1"/>
    <col min="6159" max="6160" width="9.453125" style="7" customWidth="1"/>
    <col min="6161" max="6161" width="14.1796875" style="7" bestFit="1" customWidth="1"/>
    <col min="6162" max="6162" width="11.54296875" style="7" customWidth="1"/>
    <col min="6163" max="6163" width="5.7265625" style="7" customWidth="1"/>
    <col min="6164" max="6164" width="14.1796875" style="7" bestFit="1" customWidth="1"/>
    <col min="6165" max="6165" width="9" style="7" customWidth="1"/>
    <col min="6166" max="6166" width="10.1796875" style="7" customWidth="1"/>
    <col min="6167" max="6167" width="14.1796875" style="7" bestFit="1" customWidth="1"/>
    <col min="6168" max="6168" width="9.453125" style="7" customWidth="1"/>
    <col min="6169" max="6169" width="5.81640625" style="7" customWidth="1"/>
    <col min="6170" max="6170" width="9.81640625" style="7" customWidth="1"/>
    <col min="6171" max="6171" width="7.453125" style="7" customWidth="1"/>
    <col min="6172" max="6172" width="9.26953125" style="7" customWidth="1"/>
    <col min="6173" max="6173" width="5.7265625" style="7" customWidth="1"/>
    <col min="6174" max="6402" width="8.7265625" style="7"/>
    <col min="6403" max="6403" width="5.1796875" style="7" customWidth="1"/>
    <col min="6404" max="6404" width="20.54296875" style="7" customWidth="1"/>
    <col min="6405" max="6405" width="20.26953125" style="7" customWidth="1"/>
    <col min="6406" max="6406" width="12.1796875" style="7" customWidth="1"/>
    <col min="6407" max="6407" width="11.54296875" style="7" customWidth="1"/>
    <col min="6408" max="6408" width="14.1796875" style="7" bestFit="1" customWidth="1"/>
    <col min="6409" max="6409" width="11" style="7" customWidth="1"/>
    <col min="6410" max="6410" width="11.26953125" style="7" customWidth="1"/>
    <col min="6411" max="6411" width="14.1796875" style="7" bestFit="1" customWidth="1"/>
    <col min="6412" max="6412" width="10.1796875" style="7" customWidth="1"/>
    <col min="6413" max="6413" width="8.81640625" style="7" customWidth="1"/>
    <col min="6414" max="6414" width="14.1796875" style="7" bestFit="1" customWidth="1"/>
    <col min="6415" max="6416" width="9.453125" style="7" customWidth="1"/>
    <col min="6417" max="6417" width="14.1796875" style="7" bestFit="1" customWidth="1"/>
    <col min="6418" max="6418" width="11.54296875" style="7" customWidth="1"/>
    <col min="6419" max="6419" width="5.7265625" style="7" customWidth="1"/>
    <col min="6420" max="6420" width="14.1796875" style="7" bestFit="1" customWidth="1"/>
    <col min="6421" max="6421" width="9" style="7" customWidth="1"/>
    <col min="6422" max="6422" width="10.1796875" style="7" customWidth="1"/>
    <col min="6423" max="6423" width="14.1796875" style="7" bestFit="1" customWidth="1"/>
    <col min="6424" max="6424" width="9.453125" style="7" customWidth="1"/>
    <col min="6425" max="6425" width="5.81640625" style="7" customWidth="1"/>
    <col min="6426" max="6426" width="9.81640625" style="7" customWidth="1"/>
    <col min="6427" max="6427" width="7.453125" style="7" customWidth="1"/>
    <col min="6428" max="6428" width="9.26953125" style="7" customWidth="1"/>
    <col min="6429" max="6429" width="5.7265625" style="7" customWidth="1"/>
    <col min="6430" max="6658" width="8.7265625" style="7"/>
    <col min="6659" max="6659" width="5.1796875" style="7" customWidth="1"/>
    <col min="6660" max="6660" width="20.54296875" style="7" customWidth="1"/>
    <col min="6661" max="6661" width="20.26953125" style="7" customWidth="1"/>
    <col min="6662" max="6662" width="12.1796875" style="7" customWidth="1"/>
    <col min="6663" max="6663" width="11.54296875" style="7" customWidth="1"/>
    <col min="6664" max="6664" width="14.1796875" style="7" bestFit="1" customWidth="1"/>
    <col min="6665" max="6665" width="11" style="7" customWidth="1"/>
    <col min="6666" max="6666" width="11.26953125" style="7" customWidth="1"/>
    <col min="6667" max="6667" width="14.1796875" style="7" bestFit="1" customWidth="1"/>
    <col min="6668" max="6668" width="10.1796875" style="7" customWidth="1"/>
    <col min="6669" max="6669" width="8.81640625" style="7" customWidth="1"/>
    <col min="6670" max="6670" width="14.1796875" style="7" bestFit="1" customWidth="1"/>
    <col min="6671" max="6672" width="9.453125" style="7" customWidth="1"/>
    <col min="6673" max="6673" width="14.1796875" style="7" bestFit="1" customWidth="1"/>
    <col min="6674" max="6674" width="11.54296875" style="7" customWidth="1"/>
    <col min="6675" max="6675" width="5.7265625" style="7" customWidth="1"/>
    <col min="6676" max="6676" width="14.1796875" style="7" bestFit="1" customWidth="1"/>
    <col min="6677" max="6677" width="9" style="7" customWidth="1"/>
    <col min="6678" max="6678" width="10.1796875" style="7" customWidth="1"/>
    <col min="6679" max="6679" width="14.1796875" style="7" bestFit="1" customWidth="1"/>
    <col min="6680" max="6680" width="9.453125" style="7" customWidth="1"/>
    <col min="6681" max="6681" width="5.81640625" style="7" customWidth="1"/>
    <col min="6682" max="6682" width="9.81640625" style="7" customWidth="1"/>
    <col min="6683" max="6683" width="7.453125" style="7" customWidth="1"/>
    <col min="6684" max="6684" width="9.26953125" style="7" customWidth="1"/>
    <col min="6685" max="6685" width="5.7265625" style="7" customWidth="1"/>
    <col min="6686" max="6914" width="8.7265625" style="7"/>
    <col min="6915" max="6915" width="5.1796875" style="7" customWidth="1"/>
    <col min="6916" max="6916" width="20.54296875" style="7" customWidth="1"/>
    <col min="6917" max="6917" width="20.26953125" style="7" customWidth="1"/>
    <col min="6918" max="6918" width="12.1796875" style="7" customWidth="1"/>
    <col min="6919" max="6919" width="11.54296875" style="7" customWidth="1"/>
    <col min="6920" max="6920" width="14.1796875" style="7" bestFit="1" customWidth="1"/>
    <col min="6921" max="6921" width="11" style="7" customWidth="1"/>
    <col min="6922" max="6922" width="11.26953125" style="7" customWidth="1"/>
    <col min="6923" max="6923" width="14.1796875" style="7" bestFit="1" customWidth="1"/>
    <col min="6924" max="6924" width="10.1796875" style="7" customWidth="1"/>
    <col min="6925" max="6925" width="8.81640625" style="7" customWidth="1"/>
    <col min="6926" max="6926" width="14.1796875" style="7" bestFit="1" customWidth="1"/>
    <col min="6927" max="6928" width="9.453125" style="7" customWidth="1"/>
    <col min="6929" max="6929" width="14.1796875" style="7" bestFit="1" customWidth="1"/>
    <col min="6930" max="6930" width="11.54296875" style="7" customWidth="1"/>
    <col min="6931" max="6931" width="5.7265625" style="7" customWidth="1"/>
    <col min="6932" max="6932" width="14.1796875" style="7" bestFit="1" customWidth="1"/>
    <col min="6933" max="6933" width="9" style="7" customWidth="1"/>
    <col min="6934" max="6934" width="10.1796875" style="7" customWidth="1"/>
    <col min="6935" max="6935" width="14.1796875" style="7" bestFit="1" customWidth="1"/>
    <col min="6936" max="6936" width="9.453125" style="7" customWidth="1"/>
    <col min="6937" max="6937" width="5.81640625" style="7" customWidth="1"/>
    <col min="6938" max="6938" width="9.81640625" style="7" customWidth="1"/>
    <col min="6939" max="6939" width="7.453125" style="7" customWidth="1"/>
    <col min="6940" max="6940" width="9.26953125" style="7" customWidth="1"/>
    <col min="6941" max="6941" width="5.7265625" style="7" customWidth="1"/>
    <col min="6942" max="7170" width="8.7265625" style="7"/>
    <col min="7171" max="7171" width="5.1796875" style="7" customWidth="1"/>
    <col min="7172" max="7172" width="20.54296875" style="7" customWidth="1"/>
    <col min="7173" max="7173" width="20.26953125" style="7" customWidth="1"/>
    <col min="7174" max="7174" width="12.1796875" style="7" customWidth="1"/>
    <col min="7175" max="7175" width="11.54296875" style="7" customWidth="1"/>
    <col min="7176" max="7176" width="14.1796875" style="7" bestFit="1" customWidth="1"/>
    <col min="7177" max="7177" width="11" style="7" customWidth="1"/>
    <col min="7178" max="7178" width="11.26953125" style="7" customWidth="1"/>
    <col min="7179" max="7179" width="14.1796875" style="7" bestFit="1" customWidth="1"/>
    <col min="7180" max="7180" width="10.1796875" style="7" customWidth="1"/>
    <col min="7181" max="7181" width="8.81640625" style="7" customWidth="1"/>
    <col min="7182" max="7182" width="14.1796875" style="7" bestFit="1" customWidth="1"/>
    <col min="7183" max="7184" width="9.453125" style="7" customWidth="1"/>
    <col min="7185" max="7185" width="14.1796875" style="7" bestFit="1" customWidth="1"/>
    <col min="7186" max="7186" width="11.54296875" style="7" customWidth="1"/>
    <col min="7187" max="7187" width="5.7265625" style="7" customWidth="1"/>
    <col min="7188" max="7188" width="14.1796875" style="7" bestFit="1" customWidth="1"/>
    <col min="7189" max="7189" width="9" style="7" customWidth="1"/>
    <col min="7190" max="7190" width="10.1796875" style="7" customWidth="1"/>
    <col min="7191" max="7191" width="14.1796875" style="7" bestFit="1" customWidth="1"/>
    <col min="7192" max="7192" width="9.453125" style="7" customWidth="1"/>
    <col min="7193" max="7193" width="5.81640625" style="7" customWidth="1"/>
    <col min="7194" max="7194" width="9.81640625" style="7" customWidth="1"/>
    <col min="7195" max="7195" width="7.453125" style="7" customWidth="1"/>
    <col min="7196" max="7196" width="9.26953125" style="7" customWidth="1"/>
    <col min="7197" max="7197" width="5.7265625" style="7" customWidth="1"/>
    <col min="7198" max="7426" width="8.7265625" style="7"/>
    <col min="7427" max="7427" width="5.1796875" style="7" customWidth="1"/>
    <col min="7428" max="7428" width="20.54296875" style="7" customWidth="1"/>
    <col min="7429" max="7429" width="20.26953125" style="7" customWidth="1"/>
    <col min="7430" max="7430" width="12.1796875" style="7" customWidth="1"/>
    <col min="7431" max="7431" width="11.54296875" style="7" customWidth="1"/>
    <col min="7432" max="7432" width="14.1796875" style="7" bestFit="1" customWidth="1"/>
    <col min="7433" max="7433" width="11" style="7" customWidth="1"/>
    <col min="7434" max="7434" width="11.26953125" style="7" customWidth="1"/>
    <col min="7435" max="7435" width="14.1796875" style="7" bestFit="1" customWidth="1"/>
    <col min="7436" max="7436" width="10.1796875" style="7" customWidth="1"/>
    <col min="7437" max="7437" width="8.81640625" style="7" customWidth="1"/>
    <col min="7438" max="7438" width="14.1796875" style="7" bestFit="1" customWidth="1"/>
    <col min="7439" max="7440" width="9.453125" style="7" customWidth="1"/>
    <col min="7441" max="7441" width="14.1796875" style="7" bestFit="1" customWidth="1"/>
    <col min="7442" max="7442" width="11.54296875" style="7" customWidth="1"/>
    <col min="7443" max="7443" width="5.7265625" style="7" customWidth="1"/>
    <col min="7444" max="7444" width="14.1796875" style="7" bestFit="1" customWidth="1"/>
    <col min="7445" max="7445" width="9" style="7" customWidth="1"/>
    <col min="7446" max="7446" width="10.1796875" style="7" customWidth="1"/>
    <col min="7447" max="7447" width="14.1796875" style="7" bestFit="1" customWidth="1"/>
    <col min="7448" max="7448" width="9.453125" style="7" customWidth="1"/>
    <col min="7449" max="7449" width="5.81640625" style="7" customWidth="1"/>
    <col min="7450" max="7450" width="9.81640625" style="7" customWidth="1"/>
    <col min="7451" max="7451" width="7.453125" style="7" customWidth="1"/>
    <col min="7452" max="7452" width="9.26953125" style="7" customWidth="1"/>
    <col min="7453" max="7453" width="5.7265625" style="7" customWidth="1"/>
    <col min="7454" max="7682" width="8.7265625" style="7"/>
    <col min="7683" max="7683" width="5.1796875" style="7" customWidth="1"/>
    <col min="7684" max="7684" width="20.54296875" style="7" customWidth="1"/>
    <col min="7685" max="7685" width="20.26953125" style="7" customWidth="1"/>
    <col min="7686" max="7686" width="12.1796875" style="7" customWidth="1"/>
    <col min="7687" max="7687" width="11.54296875" style="7" customWidth="1"/>
    <col min="7688" max="7688" width="14.1796875" style="7" bestFit="1" customWidth="1"/>
    <col min="7689" max="7689" width="11" style="7" customWidth="1"/>
    <col min="7690" max="7690" width="11.26953125" style="7" customWidth="1"/>
    <col min="7691" max="7691" width="14.1796875" style="7" bestFit="1" customWidth="1"/>
    <col min="7692" max="7692" width="10.1796875" style="7" customWidth="1"/>
    <col min="7693" max="7693" width="8.81640625" style="7" customWidth="1"/>
    <col min="7694" max="7694" width="14.1796875" style="7" bestFit="1" customWidth="1"/>
    <col min="7695" max="7696" width="9.453125" style="7" customWidth="1"/>
    <col min="7697" max="7697" width="14.1796875" style="7" bestFit="1" customWidth="1"/>
    <col min="7698" max="7698" width="11.54296875" style="7" customWidth="1"/>
    <col min="7699" max="7699" width="5.7265625" style="7" customWidth="1"/>
    <col min="7700" max="7700" width="14.1796875" style="7" bestFit="1" customWidth="1"/>
    <col min="7701" max="7701" width="9" style="7" customWidth="1"/>
    <col min="7702" max="7702" width="10.1796875" style="7" customWidth="1"/>
    <col min="7703" max="7703" width="14.1796875" style="7" bestFit="1" customWidth="1"/>
    <col min="7704" max="7704" width="9.453125" style="7" customWidth="1"/>
    <col min="7705" max="7705" width="5.81640625" style="7" customWidth="1"/>
    <col min="7706" max="7706" width="9.81640625" style="7" customWidth="1"/>
    <col min="7707" max="7707" width="7.453125" style="7" customWidth="1"/>
    <col min="7708" max="7708" width="9.26953125" style="7" customWidth="1"/>
    <col min="7709" max="7709" width="5.7265625" style="7" customWidth="1"/>
    <col min="7710" max="7938" width="8.7265625" style="7"/>
    <col min="7939" max="7939" width="5.1796875" style="7" customWidth="1"/>
    <col min="7940" max="7940" width="20.54296875" style="7" customWidth="1"/>
    <col min="7941" max="7941" width="20.26953125" style="7" customWidth="1"/>
    <col min="7942" max="7942" width="12.1796875" style="7" customWidth="1"/>
    <col min="7943" max="7943" width="11.54296875" style="7" customWidth="1"/>
    <col min="7944" max="7944" width="14.1796875" style="7" bestFit="1" customWidth="1"/>
    <col min="7945" max="7945" width="11" style="7" customWidth="1"/>
    <col min="7946" max="7946" width="11.26953125" style="7" customWidth="1"/>
    <col min="7947" max="7947" width="14.1796875" style="7" bestFit="1" customWidth="1"/>
    <col min="7948" max="7948" width="10.1796875" style="7" customWidth="1"/>
    <col min="7949" max="7949" width="8.81640625" style="7" customWidth="1"/>
    <col min="7950" max="7950" width="14.1796875" style="7" bestFit="1" customWidth="1"/>
    <col min="7951" max="7952" width="9.453125" style="7" customWidth="1"/>
    <col min="7953" max="7953" width="14.1796875" style="7" bestFit="1" customWidth="1"/>
    <col min="7954" max="7954" width="11.54296875" style="7" customWidth="1"/>
    <col min="7955" max="7955" width="5.7265625" style="7" customWidth="1"/>
    <col min="7956" max="7956" width="14.1796875" style="7" bestFit="1" customWidth="1"/>
    <col min="7957" max="7957" width="9" style="7" customWidth="1"/>
    <col min="7958" max="7958" width="10.1796875" style="7" customWidth="1"/>
    <col min="7959" max="7959" width="14.1796875" style="7" bestFit="1" customWidth="1"/>
    <col min="7960" max="7960" width="9.453125" style="7" customWidth="1"/>
    <col min="7961" max="7961" width="5.81640625" style="7" customWidth="1"/>
    <col min="7962" max="7962" width="9.81640625" style="7" customWidth="1"/>
    <col min="7963" max="7963" width="7.453125" style="7" customWidth="1"/>
    <col min="7964" max="7964" width="9.26953125" style="7" customWidth="1"/>
    <col min="7965" max="7965" width="5.7265625" style="7" customWidth="1"/>
    <col min="7966" max="8194" width="8.7265625" style="7"/>
    <col min="8195" max="8195" width="5.1796875" style="7" customWidth="1"/>
    <col min="8196" max="8196" width="20.54296875" style="7" customWidth="1"/>
    <col min="8197" max="8197" width="20.26953125" style="7" customWidth="1"/>
    <col min="8198" max="8198" width="12.1796875" style="7" customWidth="1"/>
    <col min="8199" max="8199" width="11.54296875" style="7" customWidth="1"/>
    <col min="8200" max="8200" width="14.1796875" style="7" bestFit="1" customWidth="1"/>
    <col min="8201" max="8201" width="11" style="7" customWidth="1"/>
    <col min="8202" max="8202" width="11.26953125" style="7" customWidth="1"/>
    <col min="8203" max="8203" width="14.1796875" style="7" bestFit="1" customWidth="1"/>
    <col min="8204" max="8204" width="10.1796875" style="7" customWidth="1"/>
    <col min="8205" max="8205" width="8.81640625" style="7" customWidth="1"/>
    <col min="8206" max="8206" width="14.1796875" style="7" bestFit="1" customWidth="1"/>
    <col min="8207" max="8208" width="9.453125" style="7" customWidth="1"/>
    <col min="8209" max="8209" width="14.1796875" style="7" bestFit="1" customWidth="1"/>
    <col min="8210" max="8210" width="11.54296875" style="7" customWidth="1"/>
    <col min="8211" max="8211" width="5.7265625" style="7" customWidth="1"/>
    <col min="8212" max="8212" width="14.1796875" style="7" bestFit="1" customWidth="1"/>
    <col min="8213" max="8213" width="9" style="7" customWidth="1"/>
    <col min="8214" max="8214" width="10.1796875" style="7" customWidth="1"/>
    <col min="8215" max="8215" width="14.1796875" style="7" bestFit="1" customWidth="1"/>
    <col min="8216" max="8216" width="9.453125" style="7" customWidth="1"/>
    <col min="8217" max="8217" width="5.81640625" style="7" customWidth="1"/>
    <col min="8218" max="8218" width="9.81640625" style="7" customWidth="1"/>
    <col min="8219" max="8219" width="7.453125" style="7" customWidth="1"/>
    <col min="8220" max="8220" width="9.26953125" style="7" customWidth="1"/>
    <col min="8221" max="8221" width="5.7265625" style="7" customWidth="1"/>
    <col min="8222" max="8450" width="8.7265625" style="7"/>
    <col min="8451" max="8451" width="5.1796875" style="7" customWidth="1"/>
    <col min="8452" max="8452" width="20.54296875" style="7" customWidth="1"/>
    <col min="8453" max="8453" width="20.26953125" style="7" customWidth="1"/>
    <col min="8454" max="8454" width="12.1796875" style="7" customWidth="1"/>
    <col min="8455" max="8455" width="11.54296875" style="7" customWidth="1"/>
    <col min="8456" max="8456" width="14.1796875" style="7" bestFit="1" customWidth="1"/>
    <col min="8457" max="8457" width="11" style="7" customWidth="1"/>
    <col min="8458" max="8458" width="11.26953125" style="7" customWidth="1"/>
    <col min="8459" max="8459" width="14.1796875" style="7" bestFit="1" customWidth="1"/>
    <col min="8460" max="8460" width="10.1796875" style="7" customWidth="1"/>
    <col min="8461" max="8461" width="8.81640625" style="7" customWidth="1"/>
    <col min="8462" max="8462" width="14.1796875" style="7" bestFit="1" customWidth="1"/>
    <col min="8463" max="8464" width="9.453125" style="7" customWidth="1"/>
    <col min="8465" max="8465" width="14.1796875" style="7" bestFit="1" customWidth="1"/>
    <col min="8466" max="8466" width="11.54296875" style="7" customWidth="1"/>
    <col min="8467" max="8467" width="5.7265625" style="7" customWidth="1"/>
    <col min="8468" max="8468" width="14.1796875" style="7" bestFit="1" customWidth="1"/>
    <col min="8469" max="8469" width="9" style="7" customWidth="1"/>
    <col min="8470" max="8470" width="10.1796875" style="7" customWidth="1"/>
    <col min="8471" max="8471" width="14.1796875" style="7" bestFit="1" customWidth="1"/>
    <col min="8472" max="8472" width="9.453125" style="7" customWidth="1"/>
    <col min="8473" max="8473" width="5.81640625" style="7" customWidth="1"/>
    <col min="8474" max="8474" width="9.81640625" style="7" customWidth="1"/>
    <col min="8475" max="8475" width="7.453125" style="7" customWidth="1"/>
    <col min="8476" max="8476" width="9.26953125" style="7" customWidth="1"/>
    <col min="8477" max="8477" width="5.7265625" style="7" customWidth="1"/>
    <col min="8478" max="8706" width="8.7265625" style="7"/>
    <col min="8707" max="8707" width="5.1796875" style="7" customWidth="1"/>
    <col min="8708" max="8708" width="20.54296875" style="7" customWidth="1"/>
    <col min="8709" max="8709" width="20.26953125" style="7" customWidth="1"/>
    <col min="8710" max="8710" width="12.1796875" style="7" customWidth="1"/>
    <col min="8711" max="8711" width="11.54296875" style="7" customWidth="1"/>
    <col min="8712" max="8712" width="14.1796875" style="7" bestFit="1" customWidth="1"/>
    <col min="8713" max="8713" width="11" style="7" customWidth="1"/>
    <col min="8714" max="8714" width="11.26953125" style="7" customWidth="1"/>
    <col min="8715" max="8715" width="14.1796875" style="7" bestFit="1" customWidth="1"/>
    <col min="8716" max="8716" width="10.1796875" style="7" customWidth="1"/>
    <col min="8717" max="8717" width="8.81640625" style="7" customWidth="1"/>
    <col min="8718" max="8718" width="14.1796875" style="7" bestFit="1" customWidth="1"/>
    <col min="8719" max="8720" width="9.453125" style="7" customWidth="1"/>
    <col min="8721" max="8721" width="14.1796875" style="7" bestFit="1" customWidth="1"/>
    <col min="8722" max="8722" width="11.54296875" style="7" customWidth="1"/>
    <col min="8723" max="8723" width="5.7265625" style="7" customWidth="1"/>
    <col min="8724" max="8724" width="14.1796875" style="7" bestFit="1" customWidth="1"/>
    <col min="8725" max="8725" width="9" style="7" customWidth="1"/>
    <col min="8726" max="8726" width="10.1796875" style="7" customWidth="1"/>
    <col min="8727" max="8727" width="14.1796875" style="7" bestFit="1" customWidth="1"/>
    <col min="8728" max="8728" width="9.453125" style="7" customWidth="1"/>
    <col min="8729" max="8729" width="5.81640625" style="7" customWidth="1"/>
    <col min="8730" max="8730" width="9.81640625" style="7" customWidth="1"/>
    <col min="8731" max="8731" width="7.453125" style="7" customWidth="1"/>
    <col min="8732" max="8732" width="9.26953125" style="7" customWidth="1"/>
    <col min="8733" max="8733" width="5.7265625" style="7" customWidth="1"/>
    <col min="8734" max="8962" width="8.7265625" style="7"/>
    <col min="8963" max="8963" width="5.1796875" style="7" customWidth="1"/>
    <col min="8964" max="8964" width="20.54296875" style="7" customWidth="1"/>
    <col min="8965" max="8965" width="20.26953125" style="7" customWidth="1"/>
    <col min="8966" max="8966" width="12.1796875" style="7" customWidth="1"/>
    <col min="8967" max="8967" width="11.54296875" style="7" customWidth="1"/>
    <col min="8968" max="8968" width="14.1796875" style="7" bestFit="1" customWidth="1"/>
    <col min="8969" max="8969" width="11" style="7" customWidth="1"/>
    <col min="8970" max="8970" width="11.26953125" style="7" customWidth="1"/>
    <col min="8971" max="8971" width="14.1796875" style="7" bestFit="1" customWidth="1"/>
    <col min="8972" max="8972" width="10.1796875" style="7" customWidth="1"/>
    <col min="8973" max="8973" width="8.81640625" style="7" customWidth="1"/>
    <col min="8974" max="8974" width="14.1796875" style="7" bestFit="1" customWidth="1"/>
    <col min="8975" max="8976" width="9.453125" style="7" customWidth="1"/>
    <col min="8977" max="8977" width="14.1796875" style="7" bestFit="1" customWidth="1"/>
    <col min="8978" max="8978" width="11.54296875" style="7" customWidth="1"/>
    <col min="8979" max="8979" width="5.7265625" style="7" customWidth="1"/>
    <col min="8980" max="8980" width="14.1796875" style="7" bestFit="1" customWidth="1"/>
    <col min="8981" max="8981" width="9" style="7" customWidth="1"/>
    <col min="8982" max="8982" width="10.1796875" style="7" customWidth="1"/>
    <col min="8983" max="8983" width="14.1796875" style="7" bestFit="1" customWidth="1"/>
    <col min="8984" max="8984" width="9.453125" style="7" customWidth="1"/>
    <col min="8985" max="8985" width="5.81640625" style="7" customWidth="1"/>
    <col min="8986" max="8986" width="9.81640625" style="7" customWidth="1"/>
    <col min="8987" max="8987" width="7.453125" style="7" customWidth="1"/>
    <col min="8988" max="8988" width="9.26953125" style="7" customWidth="1"/>
    <col min="8989" max="8989" width="5.7265625" style="7" customWidth="1"/>
    <col min="8990" max="9218" width="8.7265625" style="7"/>
    <col min="9219" max="9219" width="5.1796875" style="7" customWidth="1"/>
    <col min="9220" max="9220" width="20.54296875" style="7" customWidth="1"/>
    <col min="9221" max="9221" width="20.26953125" style="7" customWidth="1"/>
    <col min="9222" max="9222" width="12.1796875" style="7" customWidth="1"/>
    <col min="9223" max="9223" width="11.54296875" style="7" customWidth="1"/>
    <col min="9224" max="9224" width="14.1796875" style="7" bestFit="1" customWidth="1"/>
    <col min="9225" max="9225" width="11" style="7" customWidth="1"/>
    <col min="9226" max="9226" width="11.26953125" style="7" customWidth="1"/>
    <col min="9227" max="9227" width="14.1796875" style="7" bestFit="1" customWidth="1"/>
    <col min="9228" max="9228" width="10.1796875" style="7" customWidth="1"/>
    <col min="9229" max="9229" width="8.81640625" style="7" customWidth="1"/>
    <col min="9230" max="9230" width="14.1796875" style="7" bestFit="1" customWidth="1"/>
    <col min="9231" max="9232" width="9.453125" style="7" customWidth="1"/>
    <col min="9233" max="9233" width="14.1796875" style="7" bestFit="1" customWidth="1"/>
    <col min="9234" max="9234" width="11.54296875" style="7" customWidth="1"/>
    <col min="9235" max="9235" width="5.7265625" style="7" customWidth="1"/>
    <col min="9236" max="9236" width="14.1796875" style="7" bestFit="1" customWidth="1"/>
    <col min="9237" max="9237" width="9" style="7" customWidth="1"/>
    <col min="9238" max="9238" width="10.1796875" style="7" customWidth="1"/>
    <col min="9239" max="9239" width="14.1796875" style="7" bestFit="1" customWidth="1"/>
    <col min="9240" max="9240" width="9.453125" style="7" customWidth="1"/>
    <col min="9241" max="9241" width="5.81640625" style="7" customWidth="1"/>
    <col min="9242" max="9242" width="9.81640625" style="7" customWidth="1"/>
    <col min="9243" max="9243" width="7.453125" style="7" customWidth="1"/>
    <col min="9244" max="9244" width="9.26953125" style="7" customWidth="1"/>
    <col min="9245" max="9245" width="5.7265625" style="7" customWidth="1"/>
    <col min="9246" max="9474" width="8.7265625" style="7"/>
    <col min="9475" max="9475" width="5.1796875" style="7" customWidth="1"/>
    <col min="9476" max="9476" width="20.54296875" style="7" customWidth="1"/>
    <col min="9477" max="9477" width="20.26953125" style="7" customWidth="1"/>
    <col min="9478" max="9478" width="12.1796875" style="7" customWidth="1"/>
    <col min="9479" max="9479" width="11.54296875" style="7" customWidth="1"/>
    <col min="9480" max="9480" width="14.1796875" style="7" bestFit="1" customWidth="1"/>
    <col min="9481" max="9481" width="11" style="7" customWidth="1"/>
    <col min="9482" max="9482" width="11.26953125" style="7" customWidth="1"/>
    <col min="9483" max="9483" width="14.1796875" style="7" bestFit="1" customWidth="1"/>
    <col min="9484" max="9484" width="10.1796875" style="7" customWidth="1"/>
    <col min="9485" max="9485" width="8.81640625" style="7" customWidth="1"/>
    <col min="9486" max="9486" width="14.1796875" style="7" bestFit="1" customWidth="1"/>
    <col min="9487" max="9488" width="9.453125" style="7" customWidth="1"/>
    <col min="9489" max="9489" width="14.1796875" style="7" bestFit="1" customWidth="1"/>
    <col min="9490" max="9490" width="11.54296875" style="7" customWidth="1"/>
    <col min="9491" max="9491" width="5.7265625" style="7" customWidth="1"/>
    <col min="9492" max="9492" width="14.1796875" style="7" bestFit="1" customWidth="1"/>
    <col min="9493" max="9493" width="9" style="7" customWidth="1"/>
    <col min="9494" max="9494" width="10.1796875" style="7" customWidth="1"/>
    <col min="9495" max="9495" width="14.1796875" style="7" bestFit="1" customWidth="1"/>
    <col min="9496" max="9496" width="9.453125" style="7" customWidth="1"/>
    <col min="9497" max="9497" width="5.81640625" style="7" customWidth="1"/>
    <col min="9498" max="9498" width="9.81640625" style="7" customWidth="1"/>
    <col min="9499" max="9499" width="7.453125" style="7" customWidth="1"/>
    <col min="9500" max="9500" width="9.26953125" style="7" customWidth="1"/>
    <col min="9501" max="9501" width="5.7265625" style="7" customWidth="1"/>
    <col min="9502" max="9730" width="8.7265625" style="7"/>
    <col min="9731" max="9731" width="5.1796875" style="7" customWidth="1"/>
    <col min="9732" max="9732" width="20.54296875" style="7" customWidth="1"/>
    <col min="9733" max="9733" width="20.26953125" style="7" customWidth="1"/>
    <col min="9734" max="9734" width="12.1796875" style="7" customWidth="1"/>
    <col min="9735" max="9735" width="11.54296875" style="7" customWidth="1"/>
    <col min="9736" max="9736" width="14.1796875" style="7" bestFit="1" customWidth="1"/>
    <col min="9737" max="9737" width="11" style="7" customWidth="1"/>
    <col min="9738" max="9738" width="11.26953125" style="7" customWidth="1"/>
    <col min="9739" max="9739" width="14.1796875" style="7" bestFit="1" customWidth="1"/>
    <col min="9740" max="9740" width="10.1796875" style="7" customWidth="1"/>
    <col min="9741" max="9741" width="8.81640625" style="7" customWidth="1"/>
    <col min="9742" max="9742" width="14.1796875" style="7" bestFit="1" customWidth="1"/>
    <col min="9743" max="9744" width="9.453125" style="7" customWidth="1"/>
    <col min="9745" max="9745" width="14.1796875" style="7" bestFit="1" customWidth="1"/>
    <col min="9746" max="9746" width="11.54296875" style="7" customWidth="1"/>
    <col min="9747" max="9747" width="5.7265625" style="7" customWidth="1"/>
    <col min="9748" max="9748" width="14.1796875" style="7" bestFit="1" customWidth="1"/>
    <col min="9749" max="9749" width="9" style="7" customWidth="1"/>
    <col min="9750" max="9750" width="10.1796875" style="7" customWidth="1"/>
    <col min="9751" max="9751" width="14.1796875" style="7" bestFit="1" customWidth="1"/>
    <col min="9752" max="9752" width="9.453125" style="7" customWidth="1"/>
    <col min="9753" max="9753" width="5.81640625" style="7" customWidth="1"/>
    <col min="9754" max="9754" width="9.81640625" style="7" customWidth="1"/>
    <col min="9755" max="9755" width="7.453125" style="7" customWidth="1"/>
    <col min="9756" max="9756" width="9.26953125" style="7" customWidth="1"/>
    <col min="9757" max="9757" width="5.7265625" style="7" customWidth="1"/>
    <col min="9758" max="9986" width="8.7265625" style="7"/>
    <col min="9987" max="9987" width="5.1796875" style="7" customWidth="1"/>
    <col min="9988" max="9988" width="20.54296875" style="7" customWidth="1"/>
    <col min="9989" max="9989" width="20.26953125" style="7" customWidth="1"/>
    <col min="9990" max="9990" width="12.1796875" style="7" customWidth="1"/>
    <col min="9991" max="9991" width="11.54296875" style="7" customWidth="1"/>
    <col min="9992" max="9992" width="14.1796875" style="7" bestFit="1" customWidth="1"/>
    <col min="9993" max="9993" width="11" style="7" customWidth="1"/>
    <col min="9994" max="9994" width="11.26953125" style="7" customWidth="1"/>
    <col min="9995" max="9995" width="14.1796875" style="7" bestFit="1" customWidth="1"/>
    <col min="9996" max="9996" width="10.1796875" style="7" customWidth="1"/>
    <col min="9997" max="9997" width="8.81640625" style="7" customWidth="1"/>
    <col min="9998" max="9998" width="14.1796875" style="7" bestFit="1" customWidth="1"/>
    <col min="9999" max="10000" width="9.453125" style="7" customWidth="1"/>
    <col min="10001" max="10001" width="14.1796875" style="7" bestFit="1" customWidth="1"/>
    <col min="10002" max="10002" width="11.54296875" style="7" customWidth="1"/>
    <col min="10003" max="10003" width="5.7265625" style="7" customWidth="1"/>
    <col min="10004" max="10004" width="14.1796875" style="7" bestFit="1" customWidth="1"/>
    <col min="10005" max="10005" width="9" style="7" customWidth="1"/>
    <col min="10006" max="10006" width="10.1796875" style="7" customWidth="1"/>
    <col min="10007" max="10007" width="14.1796875" style="7" bestFit="1" customWidth="1"/>
    <col min="10008" max="10008" width="9.453125" style="7" customWidth="1"/>
    <col min="10009" max="10009" width="5.81640625" style="7" customWidth="1"/>
    <col min="10010" max="10010" width="9.81640625" style="7" customWidth="1"/>
    <col min="10011" max="10011" width="7.453125" style="7" customWidth="1"/>
    <col min="10012" max="10012" width="9.26953125" style="7" customWidth="1"/>
    <col min="10013" max="10013" width="5.7265625" style="7" customWidth="1"/>
    <col min="10014" max="10242" width="8.7265625" style="7"/>
    <col min="10243" max="10243" width="5.1796875" style="7" customWidth="1"/>
    <col min="10244" max="10244" width="20.54296875" style="7" customWidth="1"/>
    <col min="10245" max="10245" width="20.26953125" style="7" customWidth="1"/>
    <col min="10246" max="10246" width="12.1796875" style="7" customWidth="1"/>
    <col min="10247" max="10247" width="11.54296875" style="7" customWidth="1"/>
    <col min="10248" max="10248" width="14.1796875" style="7" bestFit="1" customWidth="1"/>
    <col min="10249" max="10249" width="11" style="7" customWidth="1"/>
    <col min="10250" max="10250" width="11.26953125" style="7" customWidth="1"/>
    <col min="10251" max="10251" width="14.1796875" style="7" bestFit="1" customWidth="1"/>
    <col min="10252" max="10252" width="10.1796875" style="7" customWidth="1"/>
    <col min="10253" max="10253" width="8.81640625" style="7" customWidth="1"/>
    <col min="10254" max="10254" width="14.1796875" style="7" bestFit="1" customWidth="1"/>
    <col min="10255" max="10256" width="9.453125" style="7" customWidth="1"/>
    <col min="10257" max="10257" width="14.1796875" style="7" bestFit="1" customWidth="1"/>
    <col min="10258" max="10258" width="11.54296875" style="7" customWidth="1"/>
    <col min="10259" max="10259" width="5.7265625" style="7" customWidth="1"/>
    <col min="10260" max="10260" width="14.1796875" style="7" bestFit="1" customWidth="1"/>
    <col min="10261" max="10261" width="9" style="7" customWidth="1"/>
    <col min="10262" max="10262" width="10.1796875" style="7" customWidth="1"/>
    <col min="10263" max="10263" width="14.1796875" style="7" bestFit="1" customWidth="1"/>
    <col min="10264" max="10264" width="9.453125" style="7" customWidth="1"/>
    <col min="10265" max="10265" width="5.81640625" style="7" customWidth="1"/>
    <col min="10266" max="10266" width="9.81640625" style="7" customWidth="1"/>
    <col min="10267" max="10267" width="7.453125" style="7" customWidth="1"/>
    <col min="10268" max="10268" width="9.26953125" style="7" customWidth="1"/>
    <col min="10269" max="10269" width="5.7265625" style="7" customWidth="1"/>
    <col min="10270" max="10498" width="8.7265625" style="7"/>
    <col min="10499" max="10499" width="5.1796875" style="7" customWidth="1"/>
    <col min="10500" max="10500" width="20.54296875" style="7" customWidth="1"/>
    <col min="10501" max="10501" width="20.26953125" style="7" customWidth="1"/>
    <col min="10502" max="10502" width="12.1796875" style="7" customWidth="1"/>
    <col min="10503" max="10503" width="11.54296875" style="7" customWidth="1"/>
    <col min="10504" max="10504" width="14.1796875" style="7" bestFit="1" customWidth="1"/>
    <col min="10505" max="10505" width="11" style="7" customWidth="1"/>
    <col min="10506" max="10506" width="11.26953125" style="7" customWidth="1"/>
    <col min="10507" max="10507" width="14.1796875" style="7" bestFit="1" customWidth="1"/>
    <col min="10508" max="10508" width="10.1796875" style="7" customWidth="1"/>
    <col min="10509" max="10509" width="8.81640625" style="7" customWidth="1"/>
    <col min="10510" max="10510" width="14.1796875" style="7" bestFit="1" customWidth="1"/>
    <col min="10511" max="10512" width="9.453125" style="7" customWidth="1"/>
    <col min="10513" max="10513" width="14.1796875" style="7" bestFit="1" customWidth="1"/>
    <col min="10514" max="10514" width="11.54296875" style="7" customWidth="1"/>
    <col min="10515" max="10515" width="5.7265625" style="7" customWidth="1"/>
    <col min="10516" max="10516" width="14.1796875" style="7" bestFit="1" customWidth="1"/>
    <col min="10517" max="10517" width="9" style="7" customWidth="1"/>
    <col min="10518" max="10518" width="10.1796875" style="7" customWidth="1"/>
    <col min="10519" max="10519" width="14.1796875" style="7" bestFit="1" customWidth="1"/>
    <col min="10520" max="10520" width="9.453125" style="7" customWidth="1"/>
    <col min="10521" max="10521" width="5.81640625" style="7" customWidth="1"/>
    <col min="10522" max="10522" width="9.81640625" style="7" customWidth="1"/>
    <col min="10523" max="10523" width="7.453125" style="7" customWidth="1"/>
    <col min="10524" max="10524" width="9.26953125" style="7" customWidth="1"/>
    <col min="10525" max="10525" width="5.7265625" style="7" customWidth="1"/>
    <col min="10526" max="10754" width="8.7265625" style="7"/>
    <col min="10755" max="10755" width="5.1796875" style="7" customWidth="1"/>
    <col min="10756" max="10756" width="20.54296875" style="7" customWidth="1"/>
    <col min="10757" max="10757" width="20.26953125" style="7" customWidth="1"/>
    <col min="10758" max="10758" width="12.1796875" style="7" customWidth="1"/>
    <col min="10759" max="10759" width="11.54296875" style="7" customWidth="1"/>
    <col min="10760" max="10760" width="14.1796875" style="7" bestFit="1" customWidth="1"/>
    <col min="10761" max="10761" width="11" style="7" customWidth="1"/>
    <col min="10762" max="10762" width="11.26953125" style="7" customWidth="1"/>
    <col min="10763" max="10763" width="14.1796875" style="7" bestFit="1" customWidth="1"/>
    <col min="10764" max="10764" width="10.1796875" style="7" customWidth="1"/>
    <col min="10765" max="10765" width="8.81640625" style="7" customWidth="1"/>
    <col min="10766" max="10766" width="14.1796875" style="7" bestFit="1" customWidth="1"/>
    <col min="10767" max="10768" width="9.453125" style="7" customWidth="1"/>
    <col min="10769" max="10769" width="14.1796875" style="7" bestFit="1" customWidth="1"/>
    <col min="10770" max="10770" width="11.54296875" style="7" customWidth="1"/>
    <col min="10771" max="10771" width="5.7265625" style="7" customWidth="1"/>
    <col min="10772" max="10772" width="14.1796875" style="7" bestFit="1" customWidth="1"/>
    <col min="10773" max="10773" width="9" style="7" customWidth="1"/>
    <col min="10774" max="10774" width="10.1796875" style="7" customWidth="1"/>
    <col min="10775" max="10775" width="14.1796875" style="7" bestFit="1" customWidth="1"/>
    <col min="10776" max="10776" width="9.453125" style="7" customWidth="1"/>
    <col min="10777" max="10777" width="5.81640625" style="7" customWidth="1"/>
    <col min="10778" max="10778" width="9.81640625" style="7" customWidth="1"/>
    <col min="10779" max="10779" width="7.453125" style="7" customWidth="1"/>
    <col min="10780" max="10780" width="9.26953125" style="7" customWidth="1"/>
    <col min="10781" max="10781" width="5.7265625" style="7" customWidth="1"/>
    <col min="10782" max="11010" width="8.7265625" style="7"/>
    <col min="11011" max="11011" width="5.1796875" style="7" customWidth="1"/>
    <col min="11012" max="11012" width="20.54296875" style="7" customWidth="1"/>
    <col min="11013" max="11013" width="20.26953125" style="7" customWidth="1"/>
    <col min="11014" max="11014" width="12.1796875" style="7" customWidth="1"/>
    <col min="11015" max="11015" width="11.54296875" style="7" customWidth="1"/>
    <col min="11016" max="11016" width="14.1796875" style="7" bestFit="1" customWidth="1"/>
    <col min="11017" max="11017" width="11" style="7" customWidth="1"/>
    <col min="11018" max="11018" width="11.26953125" style="7" customWidth="1"/>
    <col min="11019" max="11019" width="14.1796875" style="7" bestFit="1" customWidth="1"/>
    <col min="11020" max="11020" width="10.1796875" style="7" customWidth="1"/>
    <col min="11021" max="11021" width="8.81640625" style="7" customWidth="1"/>
    <col min="11022" max="11022" width="14.1796875" style="7" bestFit="1" customWidth="1"/>
    <col min="11023" max="11024" width="9.453125" style="7" customWidth="1"/>
    <col min="11025" max="11025" width="14.1796875" style="7" bestFit="1" customWidth="1"/>
    <col min="11026" max="11026" width="11.54296875" style="7" customWidth="1"/>
    <col min="11027" max="11027" width="5.7265625" style="7" customWidth="1"/>
    <col min="11028" max="11028" width="14.1796875" style="7" bestFit="1" customWidth="1"/>
    <col min="11029" max="11029" width="9" style="7" customWidth="1"/>
    <col min="11030" max="11030" width="10.1796875" style="7" customWidth="1"/>
    <col min="11031" max="11031" width="14.1796875" style="7" bestFit="1" customWidth="1"/>
    <col min="11032" max="11032" width="9.453125" style="7" customWidth="1"/>
    <col min="11033" max="11033" width="5.81640625" style="7" customWidth="1"/>
    <col min="11034" max="11034" width="9.81640625" style="7" customWidth="1"/>
    <col min="11035" max="11035" width="7.453125" style="7" customWidth="1"/>
    <col min="11036" max="11036" width="9.26953125" style="7" customWidth="1"/>
    <col min="11037" max="11037" width="5.7265625" style="7" customWidth="1"/>
    <col min="11038" max="11266" width="8.7265625" style="7"/>
    <col min="11267" max="11267" width="5.1796875" style="7" customWidth="1"/>
    <col min="11268" max="11268" width="20.54296875" style="7" customWidth="1"/>
    <col min="11269" max="11269" width="20.26953125" style="7" customWidth="1"/>
    <col min="11270" max="11270" width="12.1796875" style="7" customWidth="1"/>
    <col min="11271" max="11271" width="11.54296875" style="7" customWidth="1"/>
    <col min="11272" max="11272" width="14.1796875" style="7" bestFit="1" customWidth="1"/>
    <col min="11273" max="11273" width="11" style="7" customWidth="1"/>
    <col min="11274" max="11274" width="11.26953125" style="7" customWidth="1"/>
    <col min="11275" max="11275" width="14.1796875" style="7" bestFit="1" customWidth="1"/>
    <col min="11276" max="11276" width="10.1796875" style="7" customWidth="1"/>
    <col min="11277" max="11277" width="8.81640625" style="7" customWidth="1"/>
    <col min="11278" max="11278" width="14.1796875" style="7" bestFit="1" customWidth="1"/>
    <col min="11279" max="11280" width="9.453125" style="7" customWidth="1"/>
    <col min="11281" max="11281" width="14.1796875" style="7" bestFit="1" customWidth="1"/>
    <col min="11282" max="11282" width="11.54296875" style="7" customWidth="1"/>
    <col min="11283" max="11283" width="5.7265625" style="7" customWidth="1"/>
    <col min="11284" max="11284" width="14.1796875" style="7" bestFit="1" customWidth="1"/>
    <col min="11285" max="11285" width="9" style="7" customWidth="1"/>
    <col min="11286" max="11286" width="10.1796875" style="7" customWidth="1"/>
    <col min="11287" max="11287" width="14.1796875" style="7" bestFit="1" customWidth="1"/>
    <col min="11288" max="11288" width="9.453125" style="7" customWidth="1"/>
    <col min="11289" max="11289" width="5.81640625" style="7" customWidth="1"/>
    <col min="11290" max="11290" width="9.81640625" style="7" customWidth="1"/>
    <col min="11291" max="11291" width="7.453125" style="7" customWidth="1"/>
    <col min="11292" max="11292" width="9.26953125" style="7" customWidth="1"/>
    <col min="11293" max="11293" width="5.7265625" style="7" customWidth="1"/>
    <col min="11294" max="11522" width="8.7265625" style="7"/>
    <col min="11523" max="11523" width="5.1796875" style="7" customWidth="1"/>
    <col min="11524" max="11524" width="20.54296875" style="7" customWidth="1"/>
    <col min="11525" max="11525" width="20.26953125" style="7" customWidth="1"/>
    <col min="11526" max="11526" width="12.1796875" style="7" customWidth="1"/>
    <col min="11527" max="11527" width="11.54296875" style="7" customWidth="1"/>
    <col min="11528" max="11528" width="14.1796875" style="7" bestFit="1" customWidth="1"/>
    <col min="11529" max="11529" width="11" style="7" customWidth="1"/>
    <col min="11530" max="11530" width="11.26953125" style="7" customWidth="1"/>
    <col min="11531" max="11531" width="14.1796875" style="7" bestFit="1" customWidth="1"/>
    <col min="11532" max="11532" width="10.1796875" style="7" customWidth="1"/>
    <col min="11533" max="11533" width="8.81640625" style="7" customWidth="1"/>
    <col min="11534" max="11534" width="14.1796875" style="7" bestFit="1" customWidth="1"/>
    <col min="11535" max="11536" width="9.453125" style="7" customWidth="1"/>
    <col min="11537" max="11537" width="14.1796875" style="7" bestFit="1" customWidth="1"/>
    <col min="11538" max="11538" width="11.54296875" style="7" customWidth="1"/>
    <col min="11539" max="11539" width="5.7265625" style="7" customWidth="1"/>
    <col min="11540" max="11540" width="14.1796875" style="7" bestFit="1" customWidth="1"/>
    <col min="11541" max="11541" width="9" style="7" customWidth="1"/>
    <col min="11542" max="11542" width="10.1796875" style="7" customWidth="1"/>
    <col min="11543" max="11543" width="14.1796875" style="7" bestFit="1" customWidth="1"/>
    <col min="11544" max="11544" width="9.453125" style="7" customWidth="1"/>
    <col min="11545" max="11545" width="5.81640625" style="7" customWidth="1"/>
    <col min="11546" max="11546" width="9.81640625" style="7" customWidth="1"/>
    <col min="11547" max="11547" width="7.453125" style="7" customWidth="1"/>
    <col min="11548" max="11548" width="9.26953125" style="7" customWidth="1"/>
    <col min="11549" max="11549" width="5.7265625" style="7" customWidth="1"/>
    <col min="11550" max="11778" width="8.7265625" style="7"/>
    <col min="11779" max="11779" width="5.1796875" style="7" customWidth="1"/>
    <col min="11780" max="11780" width="20.54296875" style="7" customWidth="1"/>
    <col min="11781" max="11781" width="20.26953125" style="7" customWidth="1"/>
    <col min="11782" max="11782" width="12.1796875" style="7" customWidth="1"/>
    <col min="11783" max="11783" width="11.54296875" style="7" customWidth="1"/>
    <col min="11784" max="11784" width="14.1796875" style="7" bestFit="1" customWidth="1"/>
    <col min="11785" max="11785" width="11" style="7" customWidth="1"/>
    <col min="11786" max="11786" width="11.26953125" style="7" customWidth="1"/>
    <col min="11787" max="11787" width="14.1796875" style="7" bestFit="1" customWidth="1"/>
    <col min="11788" max="11788" width="10.1796875" style="7" customWidth="1"/>
    <col min="11789" max="11789" width="8.81640625" style="7" customWidth="1"/>
    <col min="11790" max="11790" width="14.1796875" style="7" bestFit="1" customWidth="1"/>
    <col min="11791" max="11792" width="9.453125" style="7" customWidth="1"/>
    <col min="11793" max="11793" width="14.1796875" style="7" bestFit="1" customWidth="1"/>
    <col min="11794" max="11794" width="11.54296875" style="7" customWidth="1"/>
    <col min="11795" max="11795" width="5.7265625" style="7" customWidth="1"/>
    <col min="11796" max="11796" width="14.1796875" style="7" bestFit="1" customWidth="1"/>
    <col min="11797" max="11797" width="9" style="7" customWidth="1"/>
    <col min="11798" max="11798" width="10.1796875" style="7" customWidth="1"/>
    <col min="11799" max="11799" width="14.1796875" style="7" bestFit="1" customWidth="1"/>
    <col min="11800" max="11800" width="9.453125" style="7" customWidth="1"/>
    <col min="11801" max="11801" width="5.81640625" style="7" customWidth="1"/>
    <col min="11802" max="11802" width="9.81640625" style="7" customWidth="1"/>
    <col min="11803" max="11803" width="7.453125" style="7" customWidth="1"/>
    <col min="11804" max="11804" width="9.26953125" style="7" customWidth="1"/>
    <col min="11805" max="11805" width="5.7265625" style="7" customWidth="1"/>
    <col min="11806" max="12034" width="8.7265625" style="7"/>
    <col min="12035" max="12035" width="5.1796875" style="7" customWidth="1"/>
    <col min="12036" max="12036" width="20.54296875" style="7" customWidth="1"/>
    <col min="12037" max="12037" width="20.26953125" style="7" customWidth="1"/>
    <col min="12038" max="12038" width="12.1796875" style="7" customWidth="1"/>
    <col min="12039" max="12039" width="11.54296875" style="7" customWidth="1"/>
    <col min="12040" max="12040" width="14.1796875" style="7" bestFit="1" customWidth="1"/>
    <col min="12041" max="12041" width="11" style="7" customWidth="1"/>
    <col min="12042" max="12042" width="11.26953125" style="7" customWidth="1"/>
    <col min="12043" max="12043" width="14.1796875" style="7" bestFit="1" customWidth="1"/>
    <col min="12044" max="12044" width="10.1796875" style="7" customWidth="1"/>
    <col min="12045" max="12045" width="8.81640625" style="7" customWidth="1"/>
    <col min="12046" max="12046" width="14.1796875" style="7" bestFit="1" customWidth="1"/>
    <col min="12047" max="12048" width="9.453125" style="7" customWidth="1"/>
    <col min="12049" max="12049" width="14.1796875" style="7" bestFit="1" customWidth="1"/>
    <col min="12050" max="12050" width="11.54296875" style="7" customWidth="1"/>
    <col min="12051" max="12051" width="5.7265625" style="7" customWidth="1"/>
    <col min="12052" max="12052" width="14.1796875" style="7" bestFit="1" customWidth="1"/>
    <col min="12053" max="12053" width="9" style="7" customWidth="1"/>
    <col min="12054" max="12054" width="10.1796875" style="7" customWidth="1"/>
    <col min="12055" max="12055" width="14.1796875" style="7" bestFit="1" customWidth="1"/>
    <col min="12056" max="12056" width="9.453125" style="7" customWidth="1"/>
    <col min="12057" max="12057" width="5.81640625" style="7" customWidth="1"/>
    <col min="12058" max="12058" width="9.81640625" style="7" customWidth="1"/>
    <col min="12059" max="12059" width="7.453125" style="7" customWidth="1"/>
    <col min="12060" max="12060" width="9.26953125" style="7" customWidth="1"/>
    <col min="12061" max="12061" width="5.7265625" style="7" customWidth="1"/>
    <col min="12062" max="12290" width="8.7265625" style="7"/>
    <col min="12291" max="12291" width="5.1796875" style="7" customWidth="1"/>
    <col min="12292" max="12292" width="20.54296875" style="7" customWidth="1"/>
    <col min="12293" max="12293" width="20.26953125" style="7" customWidth="1"/>
    <col min="12294" max="12294" width="12.1796875" style="7" customWidth="1"/>
    <col min="12295" max="12295" width="11.54296875" style="7" customWidth="1"/>
    <col min="12296" max="12296" width="14.1796875" style="7" bestFit="1" customWidth="1"/>
    <col min="12297" max="12297" width="11" style="7" customWidth="1"/>
    <col min="12298" max="12298" width="11.26953125" style="7" customWidth="1"/>
    <col min="12299" max="12299" width="14.1796875" style="7" bestFit="1" customWidth="1"/>
    <col min="12300" max="12300" width="10.1796875" style="7" customWidth="1"/>
    <col min="12301" max="12301" width="8.81640625" style="7" customWidth="1"/>
    <col min="12302" max="12302" width="14.1796875" style="7" bestFit="1" customWidth="1"/>
    <col min="12303" max="12304" width="9.453125" style="7" customWidth="1"/>
    <col min="12305" max="12305" width="14.1796875" style="7" bestFit="1" customWidth="1"/>
    <col min="12306" max="12306" width="11.54296875" style="7" customWidth="1"/>
    <col min="12307" max="12307" width="5.7265625" style="7" customWidth="1"/>
    <col min="12308" max="12308" width="14.1796875" style="7" bestFit="1" customWidth="1"/>
    <col min="12309" max="12309" width="9" style="7" customWidth="1"/>
    <col min="12310" max="12310" width="10.1796875" style="7" customWidth="1"/>
    <col min="12311" max="12311" width="14.1796875" style="7" bestFit="1" customWidth="1"/>
    <col min="12312" max="12312" width="9.453125" style="7" customWidth="1"/>
    <col min="12313" max="12313" width="5.81640625" style="7" customWidth="1"/>
    <col min="12314" max="12314" width="9.81640625" style="7" customWidth="1"/>
    <col min="12315" max="12315" width="7.453125" style="7" customWidth="1"/>
    <col min="12316" max="12316" width="9.26953125" style="7" customWidth="1"/>
    <col min="12317" max="12317" width="5.7265625" style="7" customWidth="1"/>
    <col min="12318" max="12546" width="8.7265625" style="7"/>
    <col min="12547" max="12547" width="5.1796875" style="7" customWidth="1"/>
    <col min="12548" max="12548" width="20.54296875" style="7" customWidth="1"/>
    <col min="12549" max="12549" width="20.26953125" style="7" customWidth="1"/>
    <col min="12550" max="12550" width="12.1796875" style="7" customWidth="1"/>
    <col min="12551" max="12551" width="11.54296875" style="7" customWidth="1"/>
    <col min="12552" max="12552" width="14.1796875" style="7" bestFit="1" customWidth="1"/>
    <col min="12553" max="12553" width="11" style="7" customWidth="1"/>
    <col min="12554" max="12554" width="11.26953125" style="7" customWidth="1"/>
    <col min="12555" max="12555" width="14.1796875" style="7" bestFit="1" customWidth="1"/>
    <col min="12556" max="12556" width="10.1796875" style="7" customWidth="1"/>
    <col min="12557" max="12557" width="8.81640625" style="7" customWidth="1"/>
    <col min="12558" max="12558" width="14.1796875" style="7" bestFit="1" customWidth="1"/>
    <col min="12559" max="12560" width="9.453125" style="7" customWidth="1"/>
    <col min="12561" max="12561" width="14.1796875" style="7" bestFit="1" customWidth="1"/>
    <col min="12562" max="12562" width="11.54296875" style="7" customWidth="1"/>
    <col min="12563" max="12563" width="5.7265625" style="7" customWidth="1"/>
    <col min="12564" max="12564" width="14.1796875" style="7" bestFit="1" customWidth="1"/>
    <col min="12565" max="12565" width="9" style="7" customWidth="1"/>
    <col min="12566" max="12566" width="10.1796875" style="7" customWidth="1"/>
    <col min="12567" max="12567" width="14.1796875" style="7" bestFit="1" customWidth="1"/>
    <col min="12568" max="12568" width="9.453125" style="7" customWidth="1"/>
    <col min="12569" max="12569" width="5.81640625" style="7" customWidth="1"/>
    <col min="12570" max="12570" width="9.81640625" style="7" customWidth="1"/>
    <col min="12571" max="12571" width="7.453125" style="7" customWidth="1"/>
    <col min="12572" max="12572" width="9.26953125" style="7" customWidth="1"/>
    <col min="12573" max="12573" width="5.7265625" style="7" customWidth="1"/>
    <col min="12574" max="12802" width="8.7265625" style="7"/>
    <col min="12803" max="12803" width="5.1796875" style="7" customWidth="1"/>
    <col min="12804" max="12804" width="20.54296875" style="7" customWidth="1"/>
    <col min="12805" max="12805" width="20.26953125" style="7" customWidth="1"/>
    <col min="12806" max="12806" width="12.1796875" style="7" customWidth="1"/>
    <col min="12807" max="12807" width="11.54296875" style="7" customWidth="1"/>
    <col min="12808" max="12808" width="14.1796875" style="7" bestFit="1" customWidth="1"/>
    <col min="12809" max="12809" width="11" style="7" customWidth="1"/>
    <col min="12810" max="12810" width="11.26953125" style="7" customWidth="1"/>
    <col min="12811" max="12811" width="14.1796875" style="7" bestFit="1" customWidth="1"/>
    <col min="12812" max="12812" width="10.1796875" style="7" customWidth="1"/>
    <col min="12813" max="12813" width="8.81640625" style="7" customWidth="1"/>
    <col min="12814" max="12814" width="14.1796875" style="7" bestFit="1" customWidth="1"/>
    <col min="12815" max="12816" width="9.453125" style="7" customWidth="1"/>
    <col min="12817" max="12817" width="14.1796875" style="7" bestFit="1" customWidth="1"/>
    <col min="12818" max="12818" width="11.54296875" style="7" customWidth="1"/>
    <col min="12819" max="12819" width="5.7265625" style="7" customWidth="1"/>
    <col min="12820" max="12820" width="14.1796875" style="7" bestFit="1" customWidth="1"/>
    <col min="12821" max="12821" width="9" style="7" customWidth="1"/>
    <col min="12822" max="12822" width="10.1796875" style="7" customWidth="1"/>
    <col min="12823" max="12823" width="14.1796875" style="7" bestFit="1" customWidth="1"/>
    <col min="12824" max="12824" width="9.453125" style="7" customWidth="1"/>
    <col min="12825" max="12825" width="5.81640625" style="7" customWidth="1"/>
    <col min="12826" max="12826" width="9.81640625" style="7" customWidth="1"/>
    <col min="12827" max="12827" width="7.453125" style="7" customWidth="1"/>
    <col min="12828" max="12828" width="9.26953125" style="7" customWidth="1"/>
    <col min="12829" max="12829" width="5.7265625" style="7" customWidth="1"/>
    <col min="12830" max="13058" width="8.7265625" style="7"/>
    <col min="13059" max="13059" width="5.1796875" style="7" customWidth="1"/>
    <col min="13060" max="13060" width="20.54296875" style="7" customWidth="1"/>
    <col min="13061" max="13061" width="20.26953125" style="7" customWidth="1"/>
    <col min="13062" max="13062" width="12.1796875" style="7" customWidth="1"/>
    <col min="13063" max="13063" width="11.54296875" style="7" customWidth="1"/>
    <col min="13064" max="13064" width="14.1796875" style="7" bestFit="1" customWidth="1"/>
    <col min="13065" max="13065" width="11" style="7" customWidth="1"/>
    <col min="13066" max="13066" width="11.26953125" style="7" customWidth="1"/>
    <col min="13067" max="13067" width="14.1796875" style="7" bestFit="1" customWidth="1"/>
    <col min="13068" max="13068" width="10.1796875" style="7" customWidth="1"/>
    <col min="13069" max="13069" width="8.81640625" style="7" customWidth="1"/>
    <col min="13070" max="13070" width="14.1796875" style="7" bestFit="1" customWidth="1"/>
    <col min="13071" max="13072" width="9.453125" style="7" customWidth="1"/>
    <col min="13073" max="13073" width="14.1796875" style="7" bestFit="1" customWidth="1"/>
    <col min="13074" max="13074" width="11.54296875" style="7" customWidth="1"/>
    <col min="13075" max="13075" width="5.7265625" style="7" customWidth="1"/>
    <col min="13076" max="13076" width="14.1796875" style="7" bestFit="1" customWidth="1"/>
    <col min="13077" max="13077" width="9" style="7" customWidth="1"/>
    <col min="13078" max="13078" width="10.1796875" style="7" customWidth="1"/>
    <col min="13079" max="13079" width="14.1796875" style="7" bestFit="1" customWidth="1"/>
    <col min="13080" max="13080" width="9.453125" style="7" customWidth="1"/>
    <col min="13081" max="13081" width="5.81640625" style="7" customWidth="1"/>
    <col min="13082" max="13082" width="9.81640625" style="7" customWidth="1"/>
    <col min="13083" max="13083" width="7.453125" style="7" customWidth="1"/>
    <col min="13084" max="13084" width="9.26953125" style="7" customWidth="1"/>
    <col min="13085" max="13085" width="5.7265625" style="7" customWidth="1"/>
    <col min="13086" max="13314" width="8.7265625" style="7"/>
    <col min="13315" max="13315" width="5.1796875" style="7" customWidth="1"/>
    <col min="13316" max="13316" width="20.54296875" style="7" customWidth="1"/>
    <col min="13317" max="13317" width="20.26953125" style="7" customWidth="1"/>
    <col min="13318" max="13318" width="12.1796875" style="7" customWidth="1"/>
    <col min="13319" max="13319" width="11.54296875" style="7" customWidth="1"/>
    <col min="13320" max="13320" width="14.1796875" style="7" bestFit="1" customWidth="1"/>
    <col min="13321" max="13321" width="11" style="7" customWidth="1"/>
    <col min="13322" max="13322" width="11.26953125" style="7" customWidth="1"/>
    <col min="13323" max="13323" width="14.1796875" style="7" bestFit="1" customWidth="1"/>
    <col min="13324" max="13324" width="10.1796875" style="7" customWidth="1"/>
    <col min="13325" max="13325" width="8.81640625" style="7" customWidth="1"/>
    <col min="13326" max="13326" width="14.1796875" style="7" bestFit="1" customWidth="1"/>
    <col min="13327" max="13328" width="9.453125" style="7" customWidth="1"/>
    <col min="13329" max="13329" width="14.1796875" style="7" bestFit="1" customWidth="1"/>
    <col min="13330" max="13330" width="11.54296875" style="7" customWidth="1"/>
    <col min="13331" max="13331" width="5.7265625" style="7" customWidth="1"/>
    <col min="13332" max="13332" width="14.1796875" style="7" bestFit="1" customWidth="1"/>
    <col min="13333" max="13333" width="9" style="7" customWidth="1"/>
    <col min="13334" max="13334" width="10.1796875" style="7" customWidth="1"/>
    <col min="13335" max="13335" width="14.1796875" style="7" bestFit="1" customWidth="1"/>
    <col min="13336" max="13336" width="9.453125" style="7" customWidth="1"/>
    <col min="13337" max="13337" width="5.81640625" style="7" customWidth="1"/>
    <col min="13338" max="13338" width="9.81640625" style="7" customWidth="1"/>
    <col min="13339" max="13339" width="7.453125" style="7" customWidth="1"/>
    <col min="13340" max="13340" width="9.26953125" style="7" customWidth="1"/>
    <col min="13341" max="13341" width="5.7265625" style="7" customWidth="1"/>
    <col min="13342" max="13570" width="8.7265625" style="7"/>
    <col min="13571" max="13571" width="5.1796875" style="7" customWidth="1"/>
    <col min="13572" max="13572" width="20.54296875" style="7" customWidth="1"/>
    <col min="13573" max="13573" width="20.26953125" style="7" customWidth="1"/>
    <col min="13574" max="13574" width="12.1796875" style="7" customWidth="1"/>
    <col min="13575" max="13575" width="11.54296875" style="7" customWidth="1"/>
    <col min="13576" max="13576" width="14.1796875" style="7" bestFit="1" customWidth="1"/>
    <col min="13577" max="13577" width="11" style="7" customWidth="1"/>
    <col min="13578" max="13578" width="11.26953125" style="7" customWidth="1"/>
    <col min="13579" max="13579" width="14.1796875" style="7" bestFit="1" customWidth="1"/>
    <col min="13580" max="13580" width="10.1796875" style="7" customWidth="1"/>
    <col min="13581" max="13581" width="8.81640625" style="7" customWidth="1"/>
    <col min="13582" max="13582" width="14.1796875" style="7" bestFit="1" customWidth="1"/>
    <col min="13583" max="13584" width="9.453125" style="7" customWidth="1"/>
    <col min="13585" max="13585" width="14.1796875" style="7" bestFit="1" customWidth="1"/>
    <col min="13586" max="13586" width="11.54296875" style="7" customWidth="1"/>
    <col min="13587" max="13587" width="5.7265625" style="7" customWidth="1"/>
    <col min="13588" max="13588" width="14.1796875" style="7" bestFit="1" customWidth="1"/>
    <col min="13589" max="13589" width="9" style="7" customWidth="1"/>
    <col min="13590" max="13590" width="10.1796875" style="7" customWidth="1"/>
    <col min="13591" max="13591" width="14.1796875" style="7" bestFit="1" customWidth="1"/>
    <col min="13592" max="13592" width="9.453125" style="7" customWidth="1"/>
    <col min="13593" max="13593" width="5.81640625" style="7" customWidth="1"/>
    <col min="13594" max="13594" width="9.81640625" style="7" customWidth="1"/>
    <col min="13595" max="13595" width="7.453125" style="7" customWidth="1"/>
    <col min="13596" max="13596" width="9.26953125" style="7" customWidth="1"/>
    <col min="13597" max="13597" width="5.7265625" style="7" customWidth="1"/>
    <col min="13598" max="13826" width="8.7265625" style="7"/>
    <col min="13827" max="13827" width="5.1796875" style="7" customWidth="1"/>
    <col min="13828" max="13828" width="20.54296875" style="7" customWidth="1"/>
    <col min="13829" max="13829" width="20.26953125" style="7" customWidth="1"/>
    <col min="13830" max="13830" width="12.1796875" style="7" customWidth="1"/>
    <col min="13831" max="13831" width="11.54296875" style="7" customWidth="1"/>
    <col min="13832" max="13832" width="14.1796875" style="7" bestFit="1" customWidth="1"/>
    <col min="13833" max="13833" width="11" style="7" customWidth="1"/>
    <col min="13834" max="13834" width="11.26953125" style="7" customWidth="1"/>
    <col min="13835" max="13835" width="14.1796875" style="7" bestFit="1" customWidth="1"/>
    <col min="13836" max="13836" width="10.1796875" style="7" customWidth="1"/>
    <col min="13837" max="13837" width="8.81640625" style="7" customWidth="1"/>
    <col min="13838" max="13838" width="14.1796875" style="7" bestFit="1" customWidth="1"/>
    <col min="13839" max="13840" width="9.453125" style="7" customWidth="1"/>
    <col min="13841" max="13841" width="14.1796875" style="7" bestFit="1" customWidth="1"/>
    <col min="13842" max="13842" width="11.54296875" style="7" customWidth="1"/>
    <col min="13843" max="13843" width="5.7265625" style="7" customWidth="1"/>
    <col min="13844" max="13844" width="14.1796875" style="7" bestFit="1" customWidth="1"/>
    <col min="13845" max="13845" width="9" style="7" customWidth="1"/>
    <col min="13846" max="13846" width="10.1796875" style="7" customWidth="1"/>
    <col min="13847" max="13847" width="14.1796875" style="7" bestFit="1" customWidth="1"/>
    <col min="13848" max="13848" width="9.453125" style="7" customWidth="1"/>
    <col min="13849" max="13849" width="5.81640625" style="7" customWidth="1"/>
    <col min="13850" max="13850" width="9.81640625" style="7" customWidth="1"/>
    <col min="13851" max="13851" width="7.453125" style="7" customWidth="1"/>
    <col min="13852" max="13852" width="9.26953125" style="7" customWidth="1"/>
    <col min="13853" max="13853" width="5.7265625" style="7" customWidth="1"/>
    <col min="13854" max="14082" width="8.7265625" style="7"/>
    <col min="14083" max="14083" width="5.1796875" style="7" customWidth="1"/>
    <col min="14084" max="14084" width="20.54296875" style="7" customWidth="1"/>
    <col min="14085" max="14085" width="20.26953125" style="7" customWidth="1"/>
    <col min="14086" max="14086" width="12.1796875" style="7" customWidth="1"/>
    <col min="14087" max="14087" width="11.54296875" style="7" customWidth="1"/>
    <col min="14088" max="14088" width="14.1796875" style="7" bestFit="1" customWidth="1"/>
    <col min="14089" max="14089" width="11" style="7" customWidth="1"/>
    <col min="14090" max="14090" width="11.26953125" style="7" customWidth="1"/>
    <col min="14091" max="14091" width="14.1796875" style="7" bestFit="1" customWidth="1"/>
    <col min="14092" max="14092" width="10.1796875" style="7" customWidth="1"/>
    <col min="14093" max="14093" width="8.81640625" style="7" customWidth="1"/>
    <col min="14094" max="14094" width="14.1796875" style="7" bestFit="1" customWidth="1"/>
    <col min="14095" max="14096" width="9.453125" style="7" customWidth="1"/>
    <col min="14097" max="14097" width="14.1796875" style="7" bestFit="1" customWidth="1"/>
    <col min="14098" max="14098" width="11.54296875" style="7" customWidth="1"/>
    <col min="14099" max="14099" width="5.7265625" style="7" customWidth="1"/>
    <col min="14100" max="14100" width="14.1796875" style="7" bestFit="1" customWidth="1"/>
    <col min="14101" max="14101" width="9" style="7" customWidth="1"/>
    <col min="14102" max="14102" width="10.1796875" style="7" customWidth="1"/>
    <col min="14103" max="14103" width="14.1796875" style="7" bestFit="1" customWidth="1"/>
    <col min="14104" max="14104" width="9.453125" style="7" customWidth="1"/>
    <col min="14105" max="14105" width="5.81640625" style="7" customWidth="1"/>
    <col min="14106" max="14106" width="9.81640625" style="7" customWidth="1"/>
    <col min="14107" max="14107" width="7.453125" style="7" customWidth="1"/>
    <col min="14108" max="14108" width="9.26953125" style="7" customWidth="1"/>
    <col min="14109" max="14109" width="5.7265625" style="7" customWidth="1"/>
    <col min="14110" max="14338" width="8.7265625" style="7"/>
    <col min="14339" max="14339" width="5.1796875" style="7" customWidth="1"/>
    <col min="14340" max="14340" width="20.54296875" style="7" customWidth="1"/>
    <col min="14341" max="14341" width="20.26953125" style="7" customWidth="1"/>
    <col min="14342" max="14342" width="12.1796875" style="7" customWidth="1"/>
    <col min="14343" max="14343" width="11.54296875" style="7" customWidth="1"/>
    <col min="14344" max="14344" width="14.1796875" style="7" bestFit="1" customWidth="1"/>
    <col min="14345" max="14345" width="11" style="7" customWidth="1"/>
    <col min="14346" max="14346" width="11.26953125" style="7" customWidth="1"/>
    <col min="14347" max="14347" width="14.1796875" style="7" bestFit="1" customWidth="1"/>
    <col min="14348" max="14348" width="10.1796875" style="7" customWidth="1"/>
    <col min="14349" max="14349" width="8.81640625" style="7" customWidth="1"/>
    <col min="14350" max="14350" width="14.1796875" style="7" bestFit="1" customWidth="1"/>
    <col min="14351" max="14352" width="9.453125" style="7" customWidth="1"/>
    <col min="14353" max="14353" width="14.1796875" style="7" bestFit="1" customWidth="1"/>
    <col min="14354" max="14354" width="11.54296875" style="7" customWidth="1"/>
    <col min="14355" max="14355" width="5.7265625" style="7" customWidth="1"/>
    <col min="14356" max="14356" width="14.1796875" style="7" bestFit="1" customWidth="1"/>
    <col min="14357" max="14357" width="9" style="7" customWidth="1"/>
    <col min="14358" max="14358" width="10.1796875" style="7" customWidth="1"/>
    <col min="14359" max="14359" width="14.1796875" style="7" bestFit="1" customWidth="1"/>
    <col min="14360" max="14360" width="9.453125" style="7" customWidth="1"/>
    <col min="14361" max="14361" width="5.81640625" style="7" customWidth="1"/>
    <col min="14362" max="14362" width="9.81640625" style="7" customWidth="1"/>
    <col min="14363" max="14363" width="7.453125" style="7" customWidth="1"/>
    <col min="14364" max="14364" width="9.26953125" style="7" customWidth="1"/>
    <col min="14365" max="14365" width="5.7265625" style="7" customWidth="1"/>
    <col min="14366" max="14594" width="8.7265625" style="7"/>
    <col min="14595" max="14595" width="5.1796875" style="7" customWidth="1"/>
    <col min="14596" max="14596" width="20.54296875" style="7" customWidth="1"/>
    <col min="14597" max="14597" width="20.26953125" style="7" customWidth="1"/>
    <col min="14598" max="14598" width="12.1796875" style="7" customWidth="1"/>
    <col min="14599" max="14599" width="11.54296875" style="7" customWidth="1"/>
    <col min="14600" max="14600" width="14.1796875" style="7" bestFit="1" customWidth="1"/>
    <col min="14601" max="14601" width="11" style="7" customWidth="1"/>
    <col min="14602" max="14602" width="11.26953125" style="7" customWidth="1"/>
    <col min="14603" max="14603" width="14.1796875" style="7" bestFit="1" customWidth="1"/>
    <col min="14604" max="14604" width="10.1796875" style="7" customWidth="1"/>
    <col min="14605" max="14605" width="8.81640625" style="7" customWidth="1"/>
    <col min="14606" max="14606" width="14.1796875" style="7" bestFit="1" customWidth="1"/>
    <col min="14607" max="14608" width="9.453125" style="7" customWidth="1"/>
    <col min="14609" max="14609" width="14.1796875" style="7" bestFit="1" customWidth="1"/>
    <col min="14610" max="14610" width="11.54296875" style="7" customWidth="1"/>
    <col min="14611" max="14611" width="5.7265625" style="7" customWidth="1"/>
    <col min="14612" max="14612" width="14.1796875" style="7" bestFit="1" customWidth="1"/>
    <col min="14613" max="14613" width="9" style="7" customWidth="1"/>
    <col min="14614" max="14614" width="10.1796875" style="7" customWidth="1"/>
    <col min="14615" max="14615" width="14.1796875" style="7" bestFit="1" customWidth="1"/>
    <col min="14616" max="14616" width="9.453125" style="7" customWidth="1"/>
    <col min="14617" max="14617" width="5.81640625" style="7" customWidth="1"/>
    <col min="14618" max="14618" width="9.81640625" style="7" customWidth="1"/>
    <col min="14619" max="14619" width="7.453125" style="7" customWidth="1"/>
    <col min="14620" max="14620" width="9.26953125" style="7" customWidth="1"/>
    <col min="14621" max="14621" width="5.7265625" style="7" customWidth="1"/>
    <col min="14622" max="14850" width="8.7265625" style="7"/>
    <col min="14851" max="14851" width="5.1796875" style="7" customWidth="1"/>
    <col min="14852" max="14852" width="20.54296875" style="7" customWidth="1"/>
    <col min="14853" max="14853" width="20.26953125" style="7" customWidth="1"/>
    <col min="14854" max="14854" width="12.1796875" style="7" customWidth="1"/>
    <col min="14855" max="14855" width="11.54296875" style="7" customWidth="1"/>
    <col min="14856" max="14856" width="14.1796875" style="7" bestFit="1" customWidth="1"/>
    <col min="14857" max="14857" width="11" style="7" customWidth="1"/>
    <col min="14858" max="14858" width="11.26953125" style="7" customWidth="1"/>
    <col min="14859" max="14859" width="14.1796875" style="7" bestFit="1" customWidth="1"/>
    <col min="14860" max="14860" width="10.1796875" style="7" customWidth="1"/>
    <col min="14861" max="14861" width="8.81640625" style="7" customWidth="1"/>
    <col min="14862" max="14862" width="14.1796875" style="7" bestFit="1" customWidth="1"/>
    <col min="14863" max="14864" width="9.453125" style="7" customWidth="1"/>
    <col min="14865" max="14865" width="14.1796875" style="7" bestFit="1" customWidth="1"/>
    <col min="14866" max="14866" width="11.54296875" style="7" customWidth="1"/>
    <col min="14867" max="14867" width="5.7265625" style="7" customWidth="1"/>
    <col min="14868" max="14868" width="14.1796875" style="7" bestFit="1" customWidth="1"/>
    <col min="14869" max="14869" width="9" style="7" customWidth="1"/>
    <col min="14870" max="14870" width="10.1796875" style="7" customWidth="1"/>
    <col min="14871" max="14871" width="14.1796875" style="7" bestFit="1" customWidth="1"/>
    <col min="14872" max="14872" width="9.453125" style="7" customWidth="1"/>
    <col min="14873" max="14873" width="5.81640625" style="7" customWidth="1"/>
    <col min="14874" max="14874" width="9.81640625" style="7" customWidth="1"/>
    <col min="14875" max="14875" width="7.453125" style="7" customWidth="1"/>
    <col min="14876" max="14876" width="9.26953125" style="7" customWidth="1"/>
    <col min="14877" max="14877" width="5.7265625" style="7" customWidth="1"/>
    <col min="14878" max="15106" width="8.7265625" style="7"/>
    <col min="15107" max="15107" width="5.1796875" style="7" customWidth="1"/>
    <col min="15108" max="15108" width="20.54296875" style="7" customWidth="1"/>
    <col min="15109" max="15109" width="20.26953125" style="7" customWidth="1"/>
    <col min="15110" max="15110" width="12.1796875" style="7" customWidth="1"/>
    <col min="15111" max="15111" width="11.54296875" style="7" customWidth="1"/>
    <col min="15112" max="15112" width="14.1796875" style="7" bestFit="1" customWidth="1"/>
    <col min="15113" max="15113" width="11" style="7" customWidth="1"/>
    <col min="15114" max="15114" width="11.26953125" style="7" customWidth="1"/>
    <col min="15115" max="15115" width="14.1796875" style="7" bestFit="1" customWidth="1"/>
    <col min="15116" max="15116" width="10.1796875" style="7" customWidth="1"/>
    <col min="15117" max="15117" width="8.81640625" style="7" customWidth="1"/>
    <col min="15118" max="15118" width="14.1796875" style="7" bestFit="1" customWidth="1"/>
    <col min="15119" max="15120" width="9.453125" style="7" customWidth="1"/>
    <col min="15121" max="15121" width="14.1796875" style="7" bestFit="1" customWidth="1"/>
    <col min="15122" max="15122" width="11.54296875" style="7" customWidth="1"/>
    <col min="15123" max="15123" width="5.7265625" style="7" customWidth="1"/>
    <col min="15124" max="15124" width="14.1796875" style="7" bestFit="1" customWidth="1"/>
    <col min="15125" max="15125" width="9" style="7" customWidth="1"/>
    <col min="15126" max="15126" width="10.1796875" style="7" customWidth="1"/>
    <col min="15127" max="15127" width="14.1796875" style="7" bestFit="1" customWidth="1"/>
    <col min="15128" max="15128" width="9.453125" style="7" customWidth="1"/>
    <col min="15129" max="15129" width="5.81640625" style="7" customWidth="1"/>
    <col min="15130" max="15130" width="9.81640625" style="7" customWidth="1"/>
    <col min="15131" max="15131" width="7.453125" style="7" customWidth="1"/>
    <col min="15132" max="15132" width="9.26953125" style="7" customWidth="1"/>
    <col min="15133" max="15133" width="5.7265625" style="7" customWidth="1"/>
    <col min="15134" max="15362" width="8.7265625" style="7"/>
    <col min="15363" max="15363" width="5.1796875" style="7" customWidth="1"/>
    <col min="15364" max="15364" width="20.54296875" style="7" customWidth="1"/>
    <col min="15365" max="15365" width="20.26953125" style="7" customWidth="1"/>
    <col min="15366" max="15366" width="12.1796875" style="7" customWidth="1"/>
    <col min="15367" max="15367" width="11.54296875" style="7" customWidth="1"/>
    <col min="15368" max="15368" width="14.1796875" style="7" bestFit="1" customWidth="1"/>
    <col min="15369" max="15369" width="11" style="7" customWidth="1"/>
    <col min="15370" max="15370" width="11.26953125" style="7" customWidth="1"/>
    <col min="15371" max="15371" width="14.1796875" style="7" bestFit="1" customWidth="1"/>
    <col min="15372" max="15372" width="10.1796875" style="7" customWidth="1"/>
    <col min="15373" max="15373" width="8.81640625" style="7" customWidth="1"/>
    <col min="15374" max="15374" width="14.1796875" style="7" bestFit="1" customWidth="1"/>
    <col min="15375" max="15376" width="9.453125" style="7" customWidth="1"/>
    <col min="15377" max="15377" width="14.1796875" style="7" bestFit="1" customWidth="1"/>
    <col min="15378" max="15378" width="11.54296875" style="7" customWidth="1"/>
    <col min="15379" max="15379" width="5.7265625" style="7" customWidth="1"/>
    <col min="15380" max="15380" width="14.1796875" style="7" bestFit="1" customWidth="1"/>
    <col min="15381" max="15381" width="9" style="7" customWidth="1"/>
    <col min="15382" max="15382" width="10.1796875" style="7" customWidth="1"/>
    <col min="15383" max="15383" width="14.1796875" style="7" bestFit="1" customWidth="1"/>
    <col min="15384" max="15384" width="9.453125" style="7" customWidth="1"/>
    <col min="15385" max="15385" width="5.81640625" style="7" customWidth="1"/>
    <col min="15386" max="15386" width="9.81640625" style="7" customWidth="1"/>
    <col min="15387" max="15387" width="7.453125" style="7" customWidth="1"/>
    <col min="15388" max="15388" width="9.26953125" style="7" customWidth="1"/>
    <col min="15389" max="15389" width="5.7265625" style="7" customWidth="1"/>
    <col min="15390" max="15618" width="8.7265625" style="7"/>
    <col min="15619" max="15619" width="5.1796875" style="7" customWidth="1"/>
    <col min="15620" max="15620" width="20.54296875" style="7" customWidth="1"/>
    <col min="15621" max="15621" width="20.26953125" style="7" customWidth="1"/>
    <col min="15622" max="15622" width="12.1796875" style="7" customWidth="1"/>
    <col min="15623" max="15623" width="11.54296875" style="7" customWidth="1"/>
    <col min="15624" max="15624" width="14.1796875" style="7" bestFit="1" customWidth="1"/>
    <col min="15625" max="15625" width="11" style="7" customWidth="1"/>
    <col min="15626" max="15626" width="11.26953125" style="7" customWidth="1"/>
    <col min="15627" max="15627" width="14.1796875" style="7" bestFit="1" customWidth="1"/>
    <col min="15628" max="15628" width="10.1796875" style="7" customWidth="1"/>
    <col min="15629" max="15629" width="8.81640625" style="7" customWidth="1"/>
    <col min="15630" max="15630" width="14.1796875" style="7" bestFit="1" customWidth="1"/>
    <col min="15631" max="15632" width="9.453125" style="7" customWidth="1"/>
    <col min="15633" max="15633" width="14.1796875" style="7" bestFit="1" customWidth="1"/>
    <col min="15634" max="15634" width="11.54296875" style="7" customWidth="1"/>
    <col min="15635" max="15635" width="5.7265625" style="7" customWidth="1"/>
    <col min="15636" max="15636" width="14.1796875" style="7" bestFit="1" customWidth="1"/>
    <col min="15637" max="15637" width="9" style="7" customWidth="1"/>
    <col min="15638" max="15638" width="10.1796875" style="7" customWidth="1"/>
    <col min="15639" max="15639" width="14.1796875" style="7" bestFit="1" customWidth="1"/>
    <col min="15640" max="15640" width="9.453125" style="7" customWidth="1"/>
    <col min="15641" max="15641" width="5.81640625" style="7" customWidth="1"/>
    <col min="15642" max="15642" width="9.81640625" style="7" customWidth="1"/>
    <col min="15643" max="15643" width="7.453125" style="7" customWidth="1"/>
    <col min="15644" max="15644" width="9.26953125" style="7" customWidth="1"/>
    <col min="15645" max="15645" width="5.7265625" style="7" customWidth="1"/>
    <col min="15646" max="15874" width="8.7265625" style="7"/>
    <col min="15875" max="15875" width="5.1796875" style="7" customWidth="1"/>
    <col min="15876" max="15876" width="20.54296875" style="7" customWidth="1"/>
    <col min="15877" max="15877" width="20.26953125" style="7" customWidth="1"/>
    <col min="15878" max="15878" width="12.1796875" style="7" customWidth="1"/>
    <col min="15879" max="15879" width="11.54296875" style="7" customWidth="1"/>
    <col min="15880" max="15880" width="14.1796875" style="7" bestFit="1" customWidth="1"/>
    <col min="15881" max="15881" width="11" style="7" customWidth="1"/>
    <col min="15882" max="15882" width="11.26953125" style="7" customWidth="1"/>
    <col min="15883" max="15883" width="14.1796875" style="7" bestFit="1" customWidth="1"/>
    <col min="15884" max="15884" width="10.1796875" style="7" customWidth="1"/>
    <col min="15885" max="15885" width="8.81640625" style="7" customWidth="1"/>
    <col min="15886" max="15886" width="14.1796875" style="7" bestFit="1" customWidth="1"/>
    <col min="15887" max="15888" width="9.453125" style="7" customWidth="1"/>
    <col min="15889" max="15889" width="14.1796875" style="7" bestFit="1" customWidth="1"/>
    <col min="15890" max="15890" width="11.54296875" style="7" customWidth="1"/>
    <col min="15891" max="15891" width="5.7265625" style="7" customWidth="1"/>
    <col min="15892" max="15892" width="14.1796875" style="7" bestFit="1" customWidth="1"/>
    <col min="15893" max="15893" width="9" style="7" customWidth="1"/>
    <col min="15894" max="15894" width="10.1796875" style="7" customWidth="1"/>
    <col min="15895" max="15895" width="14.1796875" style="7" bestFit="1" customWidth="1"/>
    <col min="15896" max="15896" width="9.453125" style="7" customWidth="1"/>
    <col min="15897" max="15897" width="5.81640625" style="7" customWidth="1"/>
    <col min="15898" max="15898" width="9.81640625" style="7" customWidth="1"/>
    <col min="15899" max="15899" width="7.453125" style="7" customWidth="1"/>
    <col min="15900" max="15900" width="9.26953125" style="7" customWidth="1"/>
    <col min="15901" max="15901" width="5.7265625" style="7" customWidth="1"/>
    <col min="15902" max="16130" width="8.7265625" style="7"/>
    <col min="16131" max="16131" width="5.1796875" style="7" customWidth="1"/>
    <col min="16132" max="16132" width="20.54296875" style="7" customWidth="1"/>
    <col min="16133" max="16133" width="20.26953125" style="7" customWidth="1"/>
    <col min="16134" max="16134" width="12.1796875" style="7" customWidth="1"/>
    <col min="16135" max="16135" width="11.54296875" style="7" customWidth="1"/>
    <col min="16136" max="16136" width="14.1796875" style="7" bestFit="1" customWidth="1"/>
    <col min="16137" max="16137" width="11" style="7" customWidth="1"/>
    <col min="16138" max="16138" width="11.26953125" style="7" customWidth="1"/>
    <col min="16139" max="16139" width="14.1796875" style="7" bestFit="1" customWidth="1"/>
    <col min="16140" max="16140" width="10.1796875" style="7" customWidth="1"/>
    <col min="16141" max="16141" width="8.81640625" style="7" customWidth="1"/>
    <col min="16142" max="16142" width="14.1796875" style="7" bestFit="1" customWidth="1"/>
    <col min="16143" max="16144" width="9.453125" style="7" customWidth="1"/>
    <col min="16145" max="16145" width="14.1796875" style="7" bestFit="1" customWidth="1"/>
    <col min="16146" max="16146" width="11.54296875" style="7" customWidth="1"/>
    <col min="16147" max="16147" width="5.7265625" style="7" customWidth="1"/>
    <col min="16148" max="16148" width="14.1796875" style="7" bestFit="1" customWidth="1"/>
    <col min="16149" max="16149" width="9" style="7" customWidth="1"/>
    <col min="16150" max="16150" width="10.1796875" style="7" customWidth="1"/>
    <col min="16151" max="16151" width="14.1796875" style="7" bestFit="1" customWidth="1"/>
    <col min="16152" max="16152" width="9.453125" style="7" customWidth="1"/>
    <col min="16153" max="16153" width="5.81640625" style="7" customWidth="1"/>
    <col min="16154" max="16154" width="9.81640625" style="7" customWidth="1"/>
    <col min="16155" max="16155" width="7.453125" style="7" customWidth="1"/>
    <col min="16156" max="16156" width="9.26953125" style="7" customWidth="1"/>
    <col min="16157" max="16157" width="5.7265625" style="7" customWidth="1"/>
    <col min="16158" max="16384" width="8.7265625" style="7"/>
  </cols>
  <sheetData>
    <row r="1" spans="1:29" s="13" customFormat="1" x14ac:dyDescent="0.35">
      <c r="A1" s="51"/>
      <c r="B1" s="763" t="s">
        <v>50</v>
      </c>
      <c r="C1" s="763"/>
      <c r="D1" s="763"/>
      <c r="E1" s="763"/>
      <c r="F1" s="763"/>
      <c r="G1" s="763"/>
      <c r="H1" s="763"/>
      <c r="I1" s="763"/>
      <c r="J1" s="763"/>
      <c r="K1" s="763"/>
      <c r="L1" s="763"/>
      <c r="M1" s="763"/>
      <c r="N1" s="763"/>
      <c r="O1" s="763"/>
      <c r="P1" s="763"/>
      <c r="Q1" s="763"/>
      <c r="R1" s="763"/>
      <c r="S1" s="763"/>
      <c r="T1" s="763"/>
      <c r="U1" s="763"/>
      <c r="V1" s="763"/>
      <c r="W1" s="763"/>
      <c r="X1" s="763"/>
      <c r="Y1" s="763"/>
      <c r="Z1" s="17"/>
      <c r="AA1" s="17"/>
      <c r="AB1" s="17"/>
      <c r="AC1" s="17"/>
    </row>
    <row r="2" spans="1:29" ht="15.65" customHeight="1" x14ac:dyDescent="0.35">
      <c r="B2" s="694" t="s">
        <v>212</v>
      </c>
      <c r="C2" s="694"/>
      <c r="D2" s="694"/>
      <c r="E2" s="694"/>
      <c r="F2" s="694"/>
      <c r="G2" s="694"/>
      <c r="H2" s="694"/>
      <c r="I2" s="694"/>
      <c r="J2" s="694"/>
      <c r="K2" s="694"/>
      <c r="L2" s="694"/>
      <c r="M2" s="694"/>
      <c r="N2" s="694"/>
      <c r="O2" s="694"/>
      <c r="P2" s="694"/>
      <c r="Q2" s="694"/>
      <c r="R2" s="694"/>
      <c r="S2" s="694"/>
      <c r="T2" s="694"/>
      <c r="U2" s="694"/>
      <c r="V2" s="694"/>
      <c r="W2" s="694"/>
      <c r="X2" s="694"/>
      <c r="Y2" s="694"/>
      <c r="Z2" s="10"/>
      <c r="AA2" s="10"/>
      <c r="AB2" s="10"/>
      <c r="AC2" s="10"/>
    </row>
    <row r="3" spans="1:29" ht="15.65" customHeight="1" x14ac:dyDescent="0.35">
      <c r="B3" s="694" t="s">
        <v>256</v>
      </c>
      <c r="C3" s="694"/>
      <c r="D3" s="694"/>
      <c r="E3" s="694"/>
      <c r="F3" s="694"/>
      <c r="G3" s="694"/>
      <c r="H3" s="694"/>
      <c r="I3" s="694"/>
      <c r="J3" s="694"/>
      <c r="K3" s="694"/>
      <c r="L3" s="694"/>
      <c r="M3" s="694"/>
      <c r="N3" s="694"/>
      <c r="O3" s="694"/>
      <c r="P3" s="694"/>
      <c r="Q3" s="694"/>
      <c r="R3" s="694"/>
      <c r="S3" s="694"/>
      <c r="T3" s="694"/>
      <c r="U3" s="694"/>
      <c r="V3" s="694"/>
      <c r="W3" s="694"/>
      <c r="X3" s="694"/>
      <c r="Y3" s="694"/>
      <c r="Z3" s="14"/>
      <c r="AA3" s="14"/>
      <c r="AB3" s="14"/>
      <c r="AC3" s="14"/>
    </row>
    <row r="4" spans="1:29" x14ac:dyDescent="0.35">
      <c r="B4" s="8"/>
      <c r="C4" s="11"/>
      <c r="D4" s="11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9"/>
      <c r="AA4" s="9"/>
      <c r="AB4" s="9"/>
      <c r="AC4" s="9"/>
    </row>
    <row r="5" spans="1:29" ht="40.9" customHeight="1" x14ac:dyDescent="0.35">
      <c r="A5" s="752" t="s">
        <v>0</v>
      </c>
      <c r="B5" s="753"/>
      <c r="C5" s="758" t="s">
        <v>53</v>
      </c>
      <c r="D5" s="745" t="s">
        <v>207</v>
      </c>
      <c r="E5" s="750" t="s">
        <v>32</v>
      </c>
      <c r="F5" s="762"/>
      <c r="G5" s="751"/>
      <c r="H5" s="747" t="s">
        <v>33</v>
      </c>
      <c r="I5" s="748"/>
      <c r="J5" s="749"/>
      <c r="K5" s="747" t="s">
        <v>34</v>
      </c>
      <c r="L5" s="748"/>
      <c r="M5" s="749"/>
      <c r="N5" s="747" t="s">
        <v>35</v>
      </c>
      <c r="O5" s="748"/>
      <c r="P5" s="749"/>
      <c r="Q5" s="747" t="s">
        <v>36</v>
      </c>
      <c r="R5" s="748"/>
      <c r="S5" s="749"/>
      <c r="T5" s="747" t="s">
        <v>37</v>
      </c>
      <c r="U5" s="748"/>
      <c r="V5" s="749"/>
      <c r="W5" s="747" t="s">
        <v>38</v>
      </c>
      <c r="X5" s="748"/>
      <c r="Y5" s="749"/>
      <c r="Z5" s="9"/>
      <c r="AA5" s="9"/>
      <c r="AB5" s="9"/>
      <c r="AC5" s="9"/>
    </row>
    <row r="6" spans="1:29" ht="15" customHeight="1" x14ac:dyDescent="0.35">
      <c r="A6" s="754"/>
      <c r="B6" s="755"/>
      <c r="C6" s="759"/>
      <c r="D6" s="761"/>
      <c r="E6" s="745" t="s">
        <v>39</v>
      </c>
      <c r="F6" s="750" t="s">
        <v>40</v>
      </c>
      <c r="G6" s="751"/>
      <c r="H6" s="745" t="s">
        <v>39</v>
      </c>
      <c r="I6" s="750" t="s">
        <v>40</v>
      </c>
      <c r="J6" s="751"/>
      <c r="K6" s="745" t="s">
        <v>39</v>
      </c>
      <c r="L6" s="750" t="s">
        <v>40</v>
      </c>
      <c r="M6" s="751"/>
      <c r="N6" s="745" t="s">
        <v>39</v>
      </c>
      <c r="O6" s="750" t="s">
        <v>40</v>
      </c>
      <c r="P6" s="751"/>
      <c r="Q6" s="745" t="s">
        <v>39</v>
      </c>
      <c r="R6" s="750" t="s">
        <v>40</v>
      </c>
      <c r="S6" s="751"/>
      <c r="T6" s="745" t="s">
        <v>39</v>
      </c>
      <c r="U6" s="750" t="s">
        <v>40</v>
      </c>
      <c r="V6" s="751"/>
      <c r="W6" s="745" t="s">
        <v>39</v>
      </c>
      <c r="X6" s="750" t="s">
        <v>40</v>
      </c>
      <c r="Y6" s="751"/>
      <c r="Z6" s="9"/>
      <c r="AA6" s="9"/>
      <c r="AB6" s="9"/>
      <c r="AC6" s="9"/>
    </row>
    <row r="7" spans="1:29" x14ac:dyDescent="0.35">
      <c r="A7" s="756"/>
      <c r="B7" s="757"/>
      <c r="C7" s="760"/>
      <c r="D7" s="746"/>
      <c r="E7" s="746"/>
      <c r="F7" s="129" t="s">
        <v>2</v>
      </c>
      <c r="G7" s="129" t="s">
        <v>1</v>
      </c>
      <c r="H7" s="746"/>
      <c r="I7" s="129" t="s">
        <v>2</v>
      </c>
      <c r="J7" s="129" t="s">
        <v>1</v>
      </c>
      <c r="K7" s="746"/>
      <c r="L7" s="129" t="s">
        <v>2</v>
      </c>
      <c r="M7" s="129" t="s">
        <v>1</v>
      </c>
      <c r="N7" s="746"/>
      <c r="O7" s="129" t="s">
        <v>2</v>
      </c>
      <c r="P7" s="129" t="s">
        <v>1</v>
      </c>
      <c r="Q7" s="746"/>
      <c r="R7" s="129" t="s">
        <v>2</v>
      </c>
      <c r="S7" s="129" t="s">
        <v>1</v>
      </c>
      <c r="T7" s="746"/>
      <c r="U7" s="129" t="s">
        <v>2</v>
      </c>
      <c r="V7" s="129" t="s">
        <v>1</v>
      </c>
      <c r="W7" s="746"/>
      <c r="X7" s="129" t="s">
        <v>2</v>
      </c>
      <c r="Y7" s="129" t="s">
        <v>1</v>
      </c>
      <c r="Z7" s="9"/>
      <c r="AA7" s="9"/>
      <c r="AB7" s="9"/>
      <c r="AC7" s="9"/>
    </row>
    <row r="8" spans="1:29" s="25" customFormat="1" x14ac:dyDescent="0.25">
      <c r="A8" s="74"/>
      <c r="B8" s="38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8">
        <v>9</v>
      </c>
      <c r="K8" s="38">
        <v>10</v>
      </c>
      <c r="L8" s="38">
        <v>11</v>
      </c>
      <c r="M8" s="38">
        <v>12</v>
      </c>
      <c r="N8" s="38">
        <v>13</v>
      </c>
      <c r="O8" s="38">
        <v>14</v>
      </c>
      <c r="P8" s="38">
        <v>15</v>
      </c>
      <c r="Q8" s="38">
        <v>16</v>
      </c>
      <c r="R8" s="38">
        <v>17</v>
      </c>
      <c r="S8" s="38">
        <v>18</v>
      </c>
      <c r="T8" s="38">
        <v>19</v>
      </c>
      <c r="U8" s="38">
        <v>20</v>
      </c>
      <c r="V8" s="38">
        <v>21</v>
      </c>
      <c r="W8" s="38">
        <v>22</v>
      </c>
      <c r="X8" s="38">
        <v>23</v>
      </c>
      <c r="Y8" s="38">
        <v>24</v>
      </c>
      <c r="Z8" s="27"/>
      <c r="AA8" s="27"/>
      <c r="AB8" s="27"/>
      <c r="AC8" s="27"/>
    </row>
    <row r="9" spans="1:29" ht="19.5" customHeight="1" x14ac:dyDescent="0.35">
      <c r="A9" s="77"/>
      <c r="B9" s="39">
        <v>1</v>
      </c>
      <c r="C9" s="33" t="s">
        <v>202</v>
      </c>
      <c r="D9" s="33" t="s">
        <v>138</v>
      </c>
      <c r="E9" s="39">
        <f>E119</f>
        <v>0</v>
      </c>
      <c r="F9" s="39">
        <f t="shared" ref="F9:Y9" si="0">F119</f>
        <v>0</v>
      </c>
      <c r="G9" s="39" t="e">
        <f t="shared" si="0"/>
        <v>#DIV/0!</v>
      </c>
      <c r="H9" s="39">
        <f t="shared" si="0"/>
        <v>0</v>
      </c>
      <c r="I9" s="39">
        <f t="shared" si="0"/>
        <v>0</v>
      </c>
      <c r="J9" s="39" t="e">
        <f t="shared" si="0"/>
        <v>#DIV/0!</v>
      </c>
      <c r="K9" s="39">
        <f t="shared" si="0"/>
        <v>0</v>
      </c>
      <c r="L9" s="39">
        <f t="shared" si="0"/>
        <v>0</v>
      </c>
      <c r="M9" s="39" t="e">
        <f t="shared" si="0"/>
        <v>#DIV/0!</v>
      </c>
      <c r="N9" s="39">
        <f t="shared" si="0"/>
        <v>13</v>
      </c>
      <c r="O9" s="39">
        <f t="shared" si="0"/>
        <v>0</v>
      </c>
      <c r="P9" s="348">
        <f t="shared" si="0"/>
        <v>0</v>
      </c>
      <c r="Q9" s="39">
        <f>Q119</f>
        <v>0</v>
      </c>
      <c r="R9" s="39">
        <f t="shared" si="0"/>
        <v>0</v>
      </c>
      <c r="S9" s="39" t="e">
        <f t="shared" si="0"/>
        <v>#DIV/0!</v>
      </c>
      <c r="T9" s="39">
        <f t="shared" si="0"/>
        <v>0</v>
      </c>
      <c r="U9" s="39">
        <f t="shared" si="0"/>
        <v>0</v>
      </c>
      <c r="V9" s="39" t="e">
        <f t="shared" si="0"/>
        <v>#DIV/0!</v>
      </c>
      <c r="W9" s="39">
        <f t="shared" si="0"/>
        <v>84</v>
      </c>
      <c r="X9" s="39">
        <f t="shared" si="0"/>
        <v>0</v>
      </c>
      <c r="Y9" s="39">
        <f t="shared" si="0"/>
        <v>0</v>
      </c>
      <c r="Z9" s="9"/>
      <c r="AA9" s="9"/>
      <c r="AB9" s="9"/>
      <c r="AC9" s="9"/>
    </row>
    <row r="10" spans="1:29" ht="19.5" customHeight="1" x14ac:dyDescent="0.35">
      <c r="A10" s="75"/>
      <c r="B10" s="40">
        <v>2</v>
      </c>
      <c r="C10" s="35" t="s">
        <v>59</v>
      </c>
      <c r="D10" s="97" t="s">
        <v>203</v>
      </c>
      <c r="E10" s="40">
        <f>E36</f>
        <v>4</v>
      </c>
      <c r="F10" s="40">
        <f t="shared" ref="F10:Y10" si="1">F36</f>
        <v>1</v>
      </c>
      <c r="G10" s="40">
        <f t="shared" si="1"/>
        <v>25</v>
      </c>
      <c r="H10" s="40">
        <f t="shared" si="1"/>
        <v>0</v>
      </c>
      <c r="I10" s="40">
        <f t="shared" si="1"/>
        <v>0</v>
      </c>
      <c r="J10" s="40" t="e">
        <f t="shared" si="1"/>
        <v>#DIV/0!</v>
      </c>
      <c r="K10" s="40">
        <f t="shared" si="1"/>
        <v>0</v>
      </c>
      <c r="L10" s="40">
        <f t="shared" si="1"/>
        <v>0</v>
      </c>
      <c r="M10" s="40" t="e">
        <f t="shared" si="1"/>
        <v>#DIV/0!</v>
      </c>
      <c r="N10" s="40">
        <f t="shared" si="1"/>
        <v>22</v>
      </c>
      <c r="O10" s="40">
        <f t="shared" si="1"/>
        <v>0</v>
      </c>
      <c r="P10" s="349">
        <f t="shared" si="1"/>
        <v>0</v>
      </c>
      <c r="Q10" s="40">
        <f t="shared" si="1"/>
        <v>11</v>
      </c>
      <c r="R10" s="40">
        <f t="shared" si="1"/>
        <v>0</v>
      </c>
      <c r="S10" s="40">
        <f t="shared" si="1"/>
        <v>0</v>
      </c>
      <c r="T10" s="40">
        <f t="shared" si="1"/>
        <v>0</v>
      </c>
      <c r="U10" s="40">
        <f t="shared" si="1"/>
        <v>0</v>
      </c>
      <c r="V10" s="40" t="e">
        <f t="shared" si="1"/>
        <v>#DIV/0!</v>
      </c>
      <c r="W10" s="40">
        <f t="shared" si="1"/>
        <v>2</v>
      </c>
      <c r="X10" s="40">
        <f t="shared" si="1"/>
        <v>1</v>
      </c>
      <c r="Y10" s="40">
        <f t="shared" si="1"/>
        <v>50</v>
      </c>
      <c r="Z10" s="9"/>
      <c r="AA10" s="9"/>
      <c r="AB10" s="9"/>
      <c r="AC10" s="9"/>
    </row>
    <row r="11" spans="1:29" ht="19.5" customHeight="1" x14ac:dyDescent="0.35">
      <c r="A11" s="75"/>
      <c r="B11" s="40">
        <v>3</v>
      </c>
      <c r="C11" s="35" t="s">
        <v>127</v>
      </c>
      <c r="D11" s="35" t="s">
        <v>128</v>
      </c>
      <c r="E11" s="81">
        <f>E105</f>
        <v>0</v>
      </c>
      <c r="F11" s="81">
        <f t="shared" ref="F11:Y11" si="2">F105</f>
        <v>0</v>
      </c>
      <c r="G11" s="81" t="e">
        <f t="shared" si="2"/>
        <v>#DIV/0!</v>
      </c>
      <c r="H11" s="81">
        <f t="shared" si="2"/>
        <v>0</v>
      </c>
      <c r="I11" s="81">
        <f t="shared" si="2"/>
        <v>0</v>
      </c>
      <c r="J11" s="81" t="e">
        <f t="shared" si="2"/>
        <v>#DIV/0!</v>
      </c>
      <c r="K11" s="81">
        <f t="shared" si="2"/>
        <v>0</v>
      </c>
      <c r="L11" s="81">
        <f t="shared" si="2"/>
        <v>0</v>
      </c>
      <c r="M11" s="81" t="e">
        <f t="shared" si="2"/>
        <v>#DIV/0!</v>
      </c>
      <c r="N11" s="81">
        <f t="shared" si="2"/>
        <v>13</v>
      </c>
      <c r="O11" s="81">
        <f t="shared" si="2"/>
        <v>8</v>
      </c>
      <c r="P11" s="309">
        <f t="shared" si="2"/>
        <v>61.53846153846154</v>
      </c>
      <c r="Q11" s="81">
        <f t="shared" si="2"/>
        <v>10</v>
      </c>
      <c r="R11" s="81">
        <f>R105</f>
        <v>5</v>
      </c>
      <c r="S11" s="347">
        <f t="shared" si="2"/>
        <v>50</v>
      </c>
      <c r="T11" s="81">
        <f t="shared" si="2"/>
        <v>0</v>
      </c>
      <c r="U11" s="81">
        <f t="shared" si="2"/>
        <v>0</v>
      </c>
      <c r="V11" s="81" t="e">
        <f t="shared" si="2"/>
        <v>#DIV/0!</v>
      </c>
      <c r="W11" s="81">
        <f t="shared" si="2"/>
        <v>28</v>
      </c>
      <c r="X11" s="81">
        <f t="shared" si="2"/>
        <v>0</v>
      </c>
      <c r="Y11" s="81">
        <f t="shared" si="2"/>
        <v>0</v>
      </c>
      <c r="Z11" s="9"/>
      <c r="AA11" s="9"/>
      <c r="AB11" s="9"/>
      <c r="AC11" s="9"/>
    </row>
    <row r="12" spans="1:29" ht="19.5" customHeight="1" x14ac:dyDescent="0.35">
      <c r="A12" s="75"/>
      <c r="B12" s="40">
        <v>4</v>
      </c>
      <c r="C12" s="35" t="s">
        <v>204</v>
      </c>
      <c r="D12" s="35" t="s">
        <v>193</v>
      </c>
      <c r="E12" s="40">
        <f>E84</f>
        <v>0</v>
      </c>
      <c r="F12" s="40">
        <f t="shared" ref="F12:Y12" si="3">F84</f>
        <v>0</v>
      </c>
      <c r="G12" s="40" t="e">
        <f t="shared" si="3"/>
        <v>#DIV/0!</v>
      </c>
      <c r="H12" s="40">
        <f t="shared" si="3"/>
        <v>0</v>
      </c>
      <c r="I12" s="40">
        <f t="shared" si="3"/>
        <v>0</v>
      </c>
      <c r="J12" s="40" t="e">
        <f t="shared" si="3"/>
        <v>#DIV/0!</v>
      </c>
      <c r="K12" s="40">
        <f t="shared" si="3"/>
        <v>7</v>
      </c>
      <c r="L12" s="40">
        <f t="shared" si="3"/>
        <v>1</v>
      </c>
      <c r="M12" s="343">
        <f t="shared" si="3"/>
        <v>14.285714285714285</v>
      </c>
      <c r="N12" s="40">
        <f t="shared" si="3"/>
        <v>15</v>
      </c>
      <c r="O12" s="40">
        <f t="shared" si="3"/>
        <v>1</v>
      </c>
      <c r="P12" s="349">
        <f t="shared" si="3"/>
        <v>6.666666666666667</v>
      </c>
      <c r="Q12" s="40">
        <f t="shared" si="3"/>
        <v>4</v>
      </c>
      <c r="R12" s="40">
        <f t="shared" si="3"/>
        <v>0</v>
      </c>
      <c r="S12" s="40">
        <f t="shared" si="3"/>
        <v>0</v>
      </c>
      <c r="T12" s="40">
        <f t="shared" si="3"/>
        <v>0</v>
      </c>
      <c r="U12" s="40">
        <f t="shared" si="3"/>
        <v>0</v>
      </c>
      <c r="V12" s="40" t="e">
        <f t="shared" si="3"/>
        <v>#DIV/0!</v>
      </c>
      <c r="W12" s="40">
        <f t="shared" si="3"/>
        <v>0</v>
      </c>
      <c r="X12" s="40">
        <f t="shared" si="3"/>
        <v>0</v>
      </c>
      <c r="Y12" s="40" t="e">
        <f t="shared" si="3"/>
        <v>#DIV/0!</v>
      </c>
      <c r="Z12" s="9"/>
      <c r="AA12" s="9"/>
      <c r="AB12" s="9"/>
      <c r="AC12" s="9"/>
    </row>
    <row r="13" spans="1:29" ht="19.5" customHeight="1" x14ac:dyDescent="0.35">
      <c r="A13" s="75"/>
      <c r="B13" s="40">
        <v>5</v>
      </c>
      <c r="C13" s="35" t="s">
        <v>69</v>
      </c>
      <c r="D13" s="35" t="s">
        <v>194</v>
      </c>
      <c r="E13" s="40">
        <f>E44</f>
        <v>1</v>
      </c>
      <c r="F13" s="40">
        <f t="shared" ref="F13:Y13" si="4">F44</f>
        <v>1</v>
      </c>
      <c r="G13" s="40">
        <f t="shared" si="4"/>
        <v>100</v>
      </c>
      <c r="H13" s="40">
        <f t="shared" si="4"/>
        <v>0</v>
      </c>
      <c r="I13" s="40">
        <f t="shared" si="4"/>
        <v>0</v>
      </c>
      <c r="J13" s="40" t="e">
        <f t="shared" si="4"/>
        <v>#DIV/0!</v>
      </c>
      <c r="K13" s="40">
        <f t="shared" si="4"/>
        <v>0</v>
      </c>
      <c r="L13" s="40">
        <f t="shared" si="4"/>
        <v>0</v>
      </c>
      <c r="M13" s="343" t="e">
        <f t="shared" si="4"/>
        <v>#DIV/0!</v>
      </c>
      <c r="N13" s="40">
        <f t="shared" si="4"/>
        <v>7</v>
      </c>
      <c r="O13" s="40">
        <f t="shared" si="4"/>
        <v>6</v>
      </c>
      <c r="P13" s="349">
        <f t="shared" si="4"/>
        <v>85.714285714285708</v>
      </c>
      <c r="Q13" s="40">
        <f t="shared" si="4"/>
        <v>0</v>
      </c>
      <c r="R13" s="40">
        <f t="shared" si="4"/>
        <v>0</v>
      </c>
      <c r="S13" s="40" t="e">
        <f t="shared" si="4"/>
        <v>#DIV/0!</v>
      </c>
      <c r="T13" s="40">
        <f t="shared" si="4"/>
        <v>38</v>
      </c>
      <c r="U13" s="40">
        <f t="shared" si="4"/>
        <v>0</v>
      </c>
      <c r="V13" s="40">
        <f t="shared" si="4"/>
        <v>0</v>
      </c>
      <c r="W13" s="40">
        <f t="shared" si="4"/>
        <v>0</v>
      </c>
      <c r="X13" s="40">
        <f t="shared" si="4"/>
        <v>0</v>
      </c>
      <c r="Y13" s="40" t="e">
        <f t="shared" si="4"/>
        <v>#DIV/0!</v>
      </c>
      <c r="Z13" s="9"/>
      <c r="AA13" s="9"/>
      <c r="AB13" s="9"/>
      <c r="AC13" s="9"/>
    </row>
    <row r="14" spans="1:29" ht="19.5" customHeight="1" x14ac:dyDescent="0.35">
      <c r="A14" s="75"/>
      <c r="B14" s="40">
        <v>6</v>
      </c>
      <c r="C14" s="35" t="s">
        <v>195</v>
      </c>
      <c r="D14" s="35" t="s">
        <v>205</v>
      </c>
      <c r="E14" s="81">
        <f>E95</f>
        <v>0</v>
      </c>
      <c r="F14" s="81">
        <f t="shared" ref="F14:Y14" si="5">F95</f>
        <v>0</v>
      </c>
      <c r="G14" s="81" t="e">
        <f t="shared" si="5"/>
        <v>#DIV/0!</v>
      </c>
      <c r="H14" s="81">
        <f t="shared" si="5"/>
        <v>0</v>
      </c>
      <c r="I14" s="81">
        <f t="shared" si="5"/>
        <v>0</v>
      </c>
      <c r="J14" s="81" t="e">
        <f t="shared" si="5"/>
        <v>#DIV/0!</v>
      </c>
      <c r="K14" s="81">
        <f t="shared" si="5"/>
        <v>1</v>
      </c>
      <c r="L14" s="81">
        <f t="shared" si="5"/>
        <v>1</v>
      </c>
      <c r="M14" s="344">
        <f t="shared" si="5"/>
        <v>100</v>
      </c>
      <c r="N14" s="81">
        <f t="shared" si="5"/>
        <v>14</v>
      </c>
      <c r="O14" s="81">
        <f t="shared" si="5"/>
        <v>9</v>
      </c>
      <c r="P14" s="309">
        <f t="shared" si="5"/>
        <v>64.285714285714292</v>
      </c>
      <c r="Q14" s="81">
        <f t="shared" si="5"/>
        <v>8</v>
      </c>
      <c r="R14" s="81">
        <f t="shared" si="5"/>
        <v>6</v>
      </c>
      <c r="S14" s="81">
        <f t="shared" si="5"/>
        <v>75</v>
      </c>
      <c r="T14" s="81">
        <f t="shared" si="5"/>
        <v>8</v>
      </c>
      <c r="U14" s="81">
        <f t="shared" si="5"/>
        <v>5</v>
      </c>
      <c r="V14" s="81">
        <f t="shared" si="5"/>
        <v>62.5</v>
      </c>
      <c r="W14" s="81">
        <f t="shared" si="5"/>
        <v>13</v>
      </c>
      <c r="X14" s="81">
        <f t="shared" si="5"/>
        <v>0</v>
      </c>
      <c r="Y14" s="81">
        <f t="shared" si="5"/>
        <v>0</v>
      </c>
      <c r="Z14" s="9"/>
      <c r="AA14" s="9"/>
      <c r="AB14" s="9"/>
      <c r="AC14" s="9"/>
    </row>
    <row r="15" spans="1:29" ht="19.5" customHeight="1" x14ac:dyDescent="0.35">
      <c r="A15" s="75"/>
      <c r="B15" s="40">
        <v>7</v>
      </c>
      <c r="C15" s="35" t="s">
        <v>196</v>
      </c>
      <c r="D15" s="35" t="s">
        <v>197</v>
      </c>
      <c r="E15" s="40">
        <f>E71</f>
        <v>7</v>
      </c>
      <c r="F15" s="40">
        <f t="shared" ref="F15:Y15" si="6">F71</f>
        <v>7</v>
      </c>
      <c r="G15" s="40">
        <f t="shared" si="6"/>
        <v>100</v>
      </c>
      <c r="H15" s="40">
        <f t="shared" si="6"/>
        <v>0</v>
      </c>
      <c r="I15" s="40">
        <f t="shared" si="6"/>
        <v>0</v>
      </c>
      <c r="J15" s="40" t="e">
        <f t="shared" si="6"/>
        <v>#DIV/0!</v>
      </c>
      <c r="K15" s="40">
        <f t="shared" si="6"/>
        <v>2</v>
      </c>
      <c r="L15" s="40">
        <f t="shared" si="6"/>
        <v>0</v>
      </c>
      <c r="M15" s="343">
        <f t="shared" si="6"/>
        <v>0</v>
      </c>
      <c r="N15" s="40">
        <f t="shared" si="6"/>
        <v>44</v>
      </c>
      <c r="O15" s="40">
        <f t="shared" si="6"/>
        <v>22</v>
      </c>
      <c r="P15" s="349">
        <f t="shared" si="6"/>
        <v>50</v>
      </c>
      <c r="Q15" s="40">
        <f t="shared" si="6"/>
        <v>36</v>
      </c>
      <c r="R15" s="40">
        <f t="shared" si="6"/>
        <v>13</v>
      </c>
      <c r="S15" s="346">
        <f t="shared" si="6"/>
        <v>36.111111111111107</v>
      </c>
      <c r="T15" s="40">
        <f t="shared" si="6"/>
        <v>61</v>
      </c>
      <c r="U15" s="40">
        <f t="shared" si="6"/>
        <v>33</v>
      </c>
      <c r="V15" s="40">
        <f t="shared" si="6"/>
        <v>54.098360655737707</v>
      </c>
      <c r="W15" s="40">
        <f t="shared" si="6"/>
        <v>0</v>
      </c>
      <c r="X15" s="40">
        <f t="shared" si="6"/>
        <v>0</v>
      </c>
      <c r="Y15" s="40" t="e">
        <f t="shared" si="6"/>
        <v>#DIV/0!</v>
      </c>
      <c r="Z15" s="9"/>
      <c r="AA15" s="9"/>
      <c r="AB15" s="9"/>
      <c r="AC15" s="9"/>
    </row>
    <row r="16" spans="1:29" ht="19.5" customHeight="1" x14ac:dyDescent="0.35">
      <c r="A16" s="75"/>
      <c r="B16" s="40">
        <v>8</v>
      </c>
      <c r="C16" s="35"/>
      <c r="D16" s="35" t="s">
        <v>198</v>
      </c>
      <c r="E16" s="40">
        <f>E51</f>
        <v>3</v>
      </c>
      <c r="F16" s="40">
        <f t="shared" ref="F16:Y16" si="7">F51</f>
        <v>2</v>
      </c>
      <c r="G16" s="40">
        <f t="shared" si="7"/>
        <v>66.666666666666657</v>
      </c>
      <c r="H16" s="40">
        <f t="shared" si="7"/>
        <v>0</v>
      </c>
      <c r="I16" s="40">
        <f t="shared" si="7"/>
        <v>0</v>
      </c>
      <c r="J16" s="40" t="e">
        <f t="shared" si="7"/>
        <v>#DIV/0!</v>
      </c>
      <c r="K16" s="40">
        <f t="shared" si="7"/>
        <v>25</v>
      </c>
      <c r="L16" s="40">
        <f t="shared" si="7"/>
        <v>0</v>
      </c>
      <c r="M16" s="343">
        <f t="shared" si="7"/>
        <v>0</v>
      </c>
      <c r="N16" s="40">
        <f t="shared" si="7"/>
        <v>9</v>
      </c>
      <c r="O16" s="40">
        <f t="shared" si="7"/>
        <v>9</v>
      </c>
      <c r="P16" s="349">
        <f t="shared" si="7"/>
        <v>100</v>
      </c>
      <c r="Q16" s="40">
        <f t="shared" si="7"/>
        <v>0</v>
      </c>
      <c r="R16" s="40">
        <f t="shared" si="7"/>
        <v>0</v>
      </c>
      <c r="S16" s="40" t="e">
        <f t="shared" si="7"/>
        <v>#DIV/0!</v>
      </c>
      <c r="T16" s="40">
        <f t="shared" si="7"/>
        <v>0</v>
      </c>
      <c r="U16" s="40">
        <f t="shared" si="7"/>
        <v>0</v>
      </c>
      <c r="V16" s="40" t="e">
        <f t="shared" si="7"/>
        <v>#DIV/0!</v>
      </c>
      <c r="W16" s="40">
        <f t="shared" si="7"/>
        <v>0</v>
      </c>
      <c r="X16" s="40">
        <f t="shared" si="7"/>
        <v>0</v>
      </c>
      <c r="Y16" s="40" t="e">
        <f t="shared" si="7"/>
        <v>#DIV/0!</v>
      </c>
      <c r="Z16" s="9"/>
      <c r="AA16" s="9"/>
      <c r="AB16" s="9"/>
      <c r="AC16" s="9"/>
    </row>
    <row r="17" spans="1:29" ht="19.5" customHeight="1" x14ac:dyDescent="0.35">
      <c r="A17" s="136"/>
      <c r="B17" s="40">
        <v>9</v>
      </c>
      <c r="C17" s="35" t="s">
        <v>199</v>
      </c>
      <c r="D17" s="35" t="s">
        <v>206</v>
      </c>
      <c r="E17" s="88">
        <f>E59</f>
        <v>12</v>
      </c>
      <c r="F17" s="88">
        <f t="shared" ref="F17:Y17" si="8">F59</f>
        <v>1</v>
      </c>
      <c r="G17" s="345">
        <f t="shared" si="8"/>
        <v>8.3333333333333321</v>
      </c>
      <c r="H17" s="88">
        <f t="shared" si="8"/>
        <v>0</v>
      </c>
      <c r="I17" s="88">
        <f t="shared" si="8"/>
        <v>0</v>
      </c>
      <c r="J17" s="88" t="e">
        <f t="shared" si="8"/>
        <v>#DIV/0!</v>
      </c>
      <c r="K17" s="88">
        <f t="shared" si="8"/>
        <v>0</v>
      </c>
      <c r="L17" s="88">
        <f t="shared" si="8"/>
        <v>0</v>
      </c>
      <c r="M17" s="345" t="e">
        <f t="shared" si="8"/>
        <v>#DIV/0!</v>
      </c>
      <c r="N17" s="88">
        <f t="shared" si="8"/>
        <v>11</v>
      </c>
      <c r="O17" s="88">
        <f t="shared" si="8"/>
        <v>1</v>
      </c>
      <c r="P17" s="350">
        <f t="shared" si="8"/>
        <v>9.0909090909090917</v>
      </c>
      <c r="Q17" s="88">
        <f t="shared" si="8"/>
        <v>0</v>
      </c>
      <c r="R17" s="88">
        <f t="shared" si="8"/>
        <v>0</v>
      </c>
      <c r="S17" s="88" t="e">
        <f t="shared" si="8"/>
        <v>#DIV/0!</v>
      </c>
      <c r="T17" s="88">
        <f t="shared" si="8"/>
        <v>28</v>
      </c>
      <c r="U17" s="88">
        <f t="shared" si="8"/>
        <v>0</v>
      </c>
      <c r="V17" s="88">
        <f t="shared" si="8"/>
        <v>0</v>
      </c>
      <c r="W17" s="88">
        <f t="shared" si="8"/>
        <v>3</v>
      </c>
      <c r="X17" s="88">
        <f t="shared" si="8"/>
        <v>3</v>
      </c>
      <c r="Y17" s="345">
        <f t="shared" si="8"/>
        <v>100</v>
      </c>
      <c r="Z17" s="9"/>
      <c r="AA17" s="9"/>
      <c r="AB17" s="9"/>
      <c r="AC17" s="9"/>
    </row>
    <row r="18" spans="1:29" ht="19.5" customHeight="1" x14ac:dyDescent="0.35">
      <c r="A18" s="75"/>
      <c r="B18" s="40">
        <v>10</v>
      </c>
      <c r="C18" s="35" t="s">
        <v>179</v>
      </c>
      <c r="D18" s="35" t="s">
        <v>168</v>
      </c>
      <c r="E18" s="40">
        <f>E142</f>
        <v>2</v>
      </c>
      <c r="F18" s="40">
        <f t="shared" ref="F18:Y18" si="9">F142</f>
        <v>1</v>
      </c>
      <c r="G18" s="40">
        <f t="shared" si="9"/>
        <v>50</v>
      </c>
      <c r="H18" s="40">
        <f t="shared" si="9"/>
        <v>0</v>
      </c>
      <c r="I18" s="40">
        <f t="shared" si="9"/>
        <v>0</v>
      </c>
      <c r="J18" s="40" t="e">
        <f t="shared" si="9"/>
        <v>#DIV/0!</v>
      </c>
      <c r="K18" s="40">
        <f t="shared" si="9"/>
        <v>0</v>
      </c>
      <c r="L18" s="40">
        <f t="shared" si="9"/>
        <v>0</v>
      </c>
      <c r="M18" s="343" t="e">
        <f t="shared" si="9"/>
        <v>#DIV/0!</v>
      </c>
      <c r="N18" s="40">
        <f t="shared" si="9"/>
        <v>6</v>
      </c>
      <c r="O18" s="40">
        <f t="shared" si="9"/>
        <v>1</v>
      </c>
      <c r="P18" s="40">
        <f t="shared" si="9"/>
        <v>16.666666666666664</v>
      </c>
      <c r="Q18" s="40">
        <f t="shared" si="9"/>
        <v>7</v>
      </c>
      <c r="R18" s="40">
        <f t="shared" si="9"/>
        <v>1</v>
      </c>
      <c r="S18" s="40">
        <f t="shared" si="9"/>
        <v>14.285714285714285</v>
      </c>
      <c r="T18" s="40">
        <f t="shared" si="9"/>
        <v>0</v>
      </c>
      <c r="U18" s="40">
        <f t="shared" si="9"/>
        <v>0</v>
      </c>
      <c r="V18" s="40" t="e">
        <f t="shared" si="9"/>
        <v>#DIV/0!</v>
      </c>
      <c r="W18" s="40">
        <f t="shared" si="9"/>
        <v>12</v>
      </c>
      <c r="X18" s="40">
        <f t="shared" si="9"/>
        <v>0</v>
      </c>
      <c r="Y18" s="40">
        <f t="shared" si="9"/>
        <v>0</v>
      </c>
      <c r="Z18" s="9"/>
      <c r="AA18" s="9"/>
      <c r="AB18" s="9"/>
      <c r="AC18" s="9"/>
    </row>
    <row r="19" spans="1:29" ht="19.5" customHeight="1" x14ac:dyDescent="0.35">
      <c r="A19" s="76"/>
      <c r="B19" s="79">
        <v>11</v>
      </c>
      <c r="C19" s="55" t="s">
        <v>200</v>
      </c>
      <c r="D19" s="55" t="s">
        <v>201</v>
      </c>
      <c r="E19" s="79">
        <f>E131</f>
        <v>0</v>
      </c>
      <c r="F19" s="79">
        <f t="shared" ref="F19:Y19" si="10">F131</f>
        <v>0</v>
      </c>
      <c r="G19" s="79" t="e">
        <f t="shared" si="10"/>
        <v>#DIV/0!</v>
      </c>
      <c r="H19" s="79">
        <f t="shared" si="10"/>
        <v>0</v>
      </c>
      <c r="I19" s="79">
        <f t="shared" si="10"/>
        <v>0</v>
      </c>
      <c r="J19" s="79" t="e">
        <f t="shared" si="10"/>
        <v>#DIV/0!</v>
      </c>
      <c r="K19" s="79">
        <f t="shared" si="10"/>
        <v>0</v>
      </c>
      <c r="L19" s="79">
        <f t="shared" si="10"/>
        <v>0</v>
      </c>
      <c r="M19" s="352" t="e">
        <f t="shared" si="10"/>
        <v>#DIV/0!</v>
      </c>
      <c r="N19" s="79">
        <f t="shared" si="10"/>
        <v>8</v>
      </c>
      <c r="O19" s="79">
        <f t="shared" si="10"/>
        <v>6</v>
      </c>
      <c r="P19" s="79">
        <f t="shared" si="10"/>
        <v>75</v>
      </c>
      <c r="Q19" s="79">
        <f t="shared" si="10"/>
        <v>0</v>
      </c>
      <c r="R19" s="79">
        <f t="shared" si="10"/>
        <v>0</v>
      </c>
      <c r="S19" s="79" t="e">
        <f t="shared" si="10"/>
        <v>#DIV/0!</v>
      </c>
      <c r="T19" s="79">
        <f t="shared" si="10"/>
        <v>0</v>
      </c>
      <c r="U19" s="79">
        <f t="shared" si="10"/>
        <v>0</v>
      </c>
      <c r="V19" s="79" t="e">
        <f t="shared" si="10"/>
        <v>#DIV/0!</v>
      </c>
      <c r="W19" s="79">
        <f t="shared" si="10"/>
        <v>23</v>
      </c>
      <c r="X19" s="79">
        <f t="shared" si="10"/>
        <v>20</v>
      </c>
      <c r="Y19" s="79">
        <f t="shared" si="10"/>
        <v>86.956521739130437</v>
      </c>
      <c r="Z19" s="9"/>
      <c r="AA19" s="9"/>
      <c r="AB19" s="9"/>
      <c r="AC19" s="9"/>
    </row>
    <row r="20" spans="1:29" ht="17.5" x14ac:dyDescent="0.35">
      <c r="A20" s="127"/>
      <c r="B20" s="137"/>
      <c r="C20" s="709" t="s">
        <v>2</v>
      </c>
      <c r="D20" s="709"/>
      <c r="E20" s="138">
        <f>SUM(E9:E19)</f>
        <v>29</v>
      </c>
      <c r="F20" s="138">
        <f t="shared" ref="F20:X20" si="11">SUM(F9:F19)</f>
        <v>13</v>
      </c>
      <c r="G20" s="168">
        <f>F20/E20*100</f>
        <v>44.827586206896555</v>
      </c>
      <c r="H20" s="138">
        <f t="shared" si="11"/>
        <v>0</v>
      </c>
      <c r="I20" s="138">
        <f t="shared" si="11"/>
        <v>0</v>
      </c>
      <c r="J20" s="168" t="e">
        <f>I20/H20*100</f>
        <v>#DIV/0!</v>
      </c>
      <c r="K20" s="138">
        <f t="shared" si="11"/>
        <v>35</v>
      </c>
      <c r="L20" s="138">
        <f t="shared" si="11"/>
        <v>2</v>
      </c>
      <c r="M20" s="168">
        <f>L20/K20*100</f>
        <v>5.7142857142857144</v>
      </c>
      <c r="N20" s="138">
        <f t="shared" si="11"/>
        <v>162</v>
      </c>
      <c r="O20" s="138">
        <f t="shared" si="11"/>
        <v>63</v>
      </c>
      <c r="P20" s="168">
        <f>O20/N20*100</f>
        <v>38.888888888888893</v>
      </c>
      <c r="Q20" s="138">
        <f t="shared" si="11"/>
        <v>76</v>
      </c>
      <c r="R20" s="138">
        <f t="shared" si="11"/>
        <v>25</v>
      </c>
      <c r="S20" s="351">
        <f>R20/Q20*100</f>
        <v>32.894736842105267</v>
      </c>
      <c r="T20" s="138">
        <f t="shared" si="11"/>
        <v>135</v>
      </c>
      <c r="U20" s="138">
        <f t="shared" si="11"/>
        <v>38</v>
      </c>
      <c r="V20" s="138" t="e">
        <f t="shared" si="11"/>
        <v>#DIV/0!</v>
      </c>
      <c r="W20" s="138">
        <f t="shared" si="11"/>
        <v>165</v>
      </c>
      <c r="X20" s="138">
        <f t="shared" si="11"/>
        <v>24</v>
      </c>
      <c r="Y20" s="168">
        <f>X20/W20*100</f>
        <v>14.545454545454545</v>
      </c>
      <c r="Z20" s="9"/>
      <c r="AA20" s="9"/>
      <c r="AB20" s="9"/>
      <c r="AC20" s="9"/>
    </row>
    <row r="21" spans="1:29" x14ac:dyDescent="0.35">
      <c r="B21" s="8"/>
      <c r="C21" s="11"/>
      <c r="D21" s="11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9"/>
      <c r="AA21" s="9"/>
      <c r="AB21" s="9"/>
      <c r="AC21" s="9"/>
    </row>
    <row r="22" spans="1:29" x14ac:dyDescent="0.35">
      <c r="B22" s="8"/>
      <c r="C22" s="11"/>
      <c r="D22" s="11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9"/>
      <c r="AA22" s="9"/>
      <c r="AB22" s="9"/>
      <c r="AC22" s="9"/>
    </row>
    <row r="23" spans="1:29" x14ac:dyDescent="0.35">
      <c r="B23" s="8"/>
      <c r="C23" s="11"/>
      <c r="D23" s="11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9"/>
      <c r="AA23" s="9"/>
      <c r="AB23" s="9"/>
      <c r="AC23" s="9"/>
    </row>
    <row r="24" spans="1:29" ht="40.9" customHeight="1" x14ac:dyDescent="0.35">
      <c r="A24" s="752" t="s">
        <v>0</v>
      </c>
      <c r="B24" s="753"/>
      <c r="C24" s="758" t="s">
        <v>53</v>
      </c>
      <c r="D24" s="745" t="s">
        <v>51</v>
      </c>
      <c r="E24" s="750" t="s">
        <v>32</v>
      </c>
      <c r="F24" s="762"/>
      <c r="G24" s="751"/>
      <c r="H24" s="747" t="s">
        <v>33</v>
      </c>
      <c r="I24" s="748"/>
      <c r="J24" s="749"/>
      <c r="K24" s="747" t="s">
        <v>34</v>
      </c>
      <c r="L24" s="748"/>
      <c r="M24" s="749"/>
      <c r="N24" s="747" t="s">
        <v>35</v>
      </c>
      <c r="O24" s="748"/>
      <c r="P24" s="749"/>
      <c r="Q24" s="747" t="s">
        <v>36</v>
      </c>
      <c r="R24" s="748"/>
      <c r="S24" s="749"/>
      <c r="T24" s="747" t="s">
        <v>37</v>
      </c>
      <c r="U24" s="748"/>
      <c r="V24" s="749"/>
      <c r="W24" s="747" t="s">
        <v>38</v>
      </c>
      <c r="X24" s="748"/>
      <c r="Y24" s="749"/>
      <c r="Z24" s="9"/>
      <c r="AA24" s="9"/>
      <c r="AB24" s="9"/>
      <c r="AC24" s="9"/>
    </row>
    <row r="25" spans="1:29" ht="15" customHeight="1" x14ac:dyDescent="0.35">
      <c r="A25" s="754"/>
      <c r="B25" s="755"/>
      <c r="C25" s="759"/>
      <c r="D25" s="761"/>
      <c r="E25" s="745" t="s">
        <v>39</v>
      </c>
      <c r="F25" s="750" t="s">
        <v>40</v>
      </c>
      <c r="G25" s="751"/>
      <c r="H25" s="745" t="s">
        <v>39</v>
      </c>
      <c r="I25" s="750" t="s">
        <v>40</v>
      </c>
      <c r="J25" s="751"/>
      <c r="K25" s="745" t="s">
        <v>39</v>
      </c>
      <c r="L25" s="750" t="s">
        <v>40</v>
      </c>
      <c r="M25" s="751"/>
      <c r="N25" s="745" t="s">
        <v>39</v>
      </c>
      <c r="O25" s="750" t="s">
        <v>40</v>
      </c>
      <c r="P25" s="751"/>
      <c r="Q25" s="745" t="s">
        <v>39</v>
      </c>
      <c r="R25" s="750" t="s">
        <v>40</v>
      </c>
      <c r="S25" s="751"/>
      <c r="T25" s="745" t="s">
        <v>39</v>
      </c>
      <c r="U25" s="750" t="s">
        <v>40</v>
      </c>
      <c r="V25" s="751"/>
      <c r="W25" s="745" t="s">
        <v>39</v>
      </c>
      <c r="X25" s="750" t="s">
        <v>40</v>
      </c>
      <c r="Y25" s="751"/>
      <c r="Z25" s="9"/>
      <c r="AA25" s="9"/>
      <c r="AB25" s="9"/>
      <c r="AC25" s="9"/>
    </row>
    <row r="26" spans="1:29" x14ac:dyDescent="0.35">
      <c r="A26" s="756"/>
      <c r="B26" s="757"/>
      <c r="C26" s="760"/>
      <c r="D26" s="746"/>
      <c r="E26" s="746"/>
      <c r="F26" s="129" t="s">
        <v>2</v>
      </c>
      <c r="G26" s="129" t="s">
        <v>1</v>
      </c>
      <c r="H26" s="746"/>
      <c r="I26" s="129" t="s">
        <v>2</v>
      </c>
      <c r="J26" s="129" t="s">
        <v>1</v>
      </c>
      <c r="K26" s="746"/>
      <c r="L26" s="129" t="s">
        <v>2</v>
      </c>
      <c r="M26" s="129" t="s">
        <v>1</v>
      </c>
      <c r="N26" s="746"/>
      <c r="O26" s="129" t="s">
        <v>2</v>
      </c>
      <c r="P26" s="129" t="s">
        <v>1</v>
      </c>
      <c r="Q26" s="746"/>
      <c r="R26" s="129" t="s">
        <v>2</v>
      </c>
      <c r="S26" s="129" t="s">
        <v>1</v>
      </c>
      <c r="T26" s="746"/>
      <c r="U26" s="129" t="s">
        <v>2</v>
      </c>
      <c r="V26" s="129" t="s">
        <v>1</v>
      </c>
      <c r="W26" s="746"/>
      <c r="X26" s="129" t="s">
        <v>2</v>
      </c>
      <c r="Y26" s="129" t="s">
        <v>1</v>
      </c>
      <c r="Z26" s="9"/>
      <c r="AA26" s="9"/>
      <c r="AB26" s="9"/>
      <c r="AC26" s="9"/>
    </row>
    <row r="27" spans="1:29" s="25" customFormat="1" x14ac:dyDescent="0.25">
      <c r="A27" s="74"/>
      <c r="B27" s="38">
        <v>1</v>
      </c>
      <c r="C27" s="38">
        <v>2</v>
      </c>
      <c r="D27" s="38">
        <v>3</v>
      </c>
      <c r="E27" s="38">
        <v>4</v>
      </c>
      <c r="F27" s="38">
        <v>5</v>
      </c>
      <c r="G27" s="38">
        <v>6</v>
      </c>
      <c r="H27" s="38">
        <v>7</v>
      </c>
      <c r="I27" s="38">
        <v>8</v>
      </c>
      <c r="J27" s="38">
        <v>9</v>
      </c>
      <c r="K27" s="38">
        <v>10</v>
      </c>
      <c r="L27" s="38">
        <v>11</v>
      </c>
      <c r="M27" s="38">
        <v>12</v>
      </c>
      <c r="N27" s="38">
        <v>13</v>
      </c>
      <c r="O27" s="38">
        <v>14</v>
      </c>
      <c r="P27" s="38">
        <v>15</v>
      </c>
      <c r="Q27" s="38">
        <v>16</v>
      </c>
      <c r="R27" s="38">
        <v>17</v>
      </c>
      <c r="S27" s="38">
        <v>18</v>
      </c>
      <c r="T27" s="38">
        <v>19</v>
      </c>
      <c r="U27" s="38">
        <v>20</v>
      </c>
      <c r="V27" s="38">
        <v>21</v>
      </c>
      <c r="W27" s="38">
        <v>22</v>
      </c>
      <c r="X27" s="38">
        <v>23</v>
      </c>
      <c r="Y27" s="38">
        <v>24</v>
      </c>
      <c r="Z27" s="27"/>
      <c r="AA27" s="27"/>
      <c r="AB27" s="27"/>
      <c r="AC27" s="27"/>
    </row>
    <row r="28" spans="1:29" ht="19.5" customHeight="1" x14ac:dyDescent="0.35">
      <c r="A28" s="77">
        <v>1</v>
      </c>
      <c r="B28" s="39">
        <v>1</v>
      </c>
      <c r="C28" s="60" t="s">
        <v>59</v>
      </c>
      <c r="D28" s="606" t="s">
        <v>60</v>
      </c>
      <c r="E28" s="607">
        <v>0</v>
      </c>
      <c r="F28" s="606">
        <v>0</v>
      </c>
      <c r="G28" s="606"/>
      <c r="H28" s="606">
        <v>0</v>
      </c>
      <c r="I28" s="606">
        <v>0</v>
      </c>
      <c r="J28" s="606"/>
      <c r="K28" s="606">
        <v>0</v>
      </c>
      <c r="L28" s="606">
        <v>0</v>
      </c>
      <c r="M28" s="606"/>
      <c r="N28" s="475">
        <v>1</v>
      </c>
      <c r="O28" s="606">
        <v>0</v>
      </c>
      <c r="P28" s="606"/>
      <c r="Q28" s="606">
        <v>0</v>
      </c>
      <c r="R28" s="606">
        <v>0</v>
      </c>
      <c r="S28" s="606"/>
      <c r="T28" s="606">
        <v>0</v>
      </c>
      <c r="U28" s="606">
        <v>0</v>
      </c>
      <c r="V28" s="606"/>
      <c r="W28" s="608">
        <v>0</v>
      </c>
      <c r="X28" s="608">
        <v>0</v>
      </c>
      <c r="Y28" s="608" t="e">
        <f>X28/W28*100</f>
        <v>#DIV/0!</v>
      </c>
      <c r="Z28" s="9"/>
      <c r="AA28" s="9"/>
      <c r="AB28" s="9"/>
      <c r="AC28" s="9"/>
    </row>
    <row r="29" spans="1:29" ht="19.5" customHeight="1" x14ac:dyDescent="0.35">
      <c r="A29" s="75"/>
      <c r="B29" s="40" t="s">
        <v>41</v>
      </c>
      <c r="C29" s="43"/>
      <c r="D29" s="606" t="s">
        <v>61</v>
      </c>
      <c r="E29" s="607">
        <v>0</v>
      </c>
      <c r="F29" s="606">
        <v>0</v>
      </c>
      <c r="G29" s="606"/>
      <c r="H29" s="606">
        <v>0</v>
      </c>
      <c r="I29" s="606">
        <v>0</v>
      </c>
      <c r="J29" s="606"/>
      <c r="K29" s="606">
        <v>0</v>
      </c>
      <c r="L29" s="606">
        <v>0</v>
      </c>
      <c r="M29" s="606"/>
      <c r="N29" s="475">
        <v>1</v>
      </c>
      <c r="O29" s="606">
        <v>0</v>
      </c>
      <c r="P29" s="606"/>
      <c r="Q29" s="606">
        <v>0</v>
      </c>
      <c r="R29" s="606">
        <v>0</v>
      </c>
      <c r="S29" s="606"/>
      <c r="T29" s="606">
        <v>0</v>
      </c>
      <c r="U29" s="606">
        <v>0</v>
      </c>
      <c r="V29" s="606"/>
      <c r="W29" s="609">
        <v>0</v>
      </c>
      <c r="X29" s="609">
        <v>0</v>
      </c>
      <c r="Y29" s="610" t="e">
        <f t="shared" ref="Y29:Y35" si="12">X29/W29*100</f>
        <v>#DIV/0!</v>
      </c>
      <c r="Z29" s="9"/>
      <c r="AA29" s="9"/>
      <c r="AB29" s="9"/>
      <c r="AC29" s="9"/>
    </row>
    <row r="30" spans="1:29" ht="19.5" customHeight="1" x14ac:dyDescent="0.35">
      <c r="A30" s="75"/>
      <c r="B30" s="40" t="s">
        <v>42</v>
      </c>
      <c r="C30" s="43"/>
      <c r="D30" s="606" t="s">
        <v>228</v>
      </c>
      <c r="E30" s="607">
        <v>0</v>
      </c>
      <c r="F30" s="606">
        <v>0</v>
      </c>
      <c r="G30" s="606"/>
      <c r="H30" s="606">
        <v>0</v>
      </c>
      <c r="I30" s="606">
        <v>0</v>
      </c>
      <c r="J30" s="606"/>
      <c r="K30" s="606">
        <v>0</v>
      </c>
      <c r="L30" s="606">
        <v>0</v>
      </c>
      <c r="M30" s="606"/>
      <c r="N30" s="477">
        <v>0</v>
      </c>
      <c r="O30" s="606">
        <v>0</v>
      </c>
      <c r="P30" s="606"/>
      <c r="Q30" s="606">
        <v>0</v>
      </c>
      <c r="R30" s="606">
        <v>0</v>
      </c>
      <c r="S30" s="606"/>
      <c r="T30" s="606">
        <v>0</v>
      </c>
      <c r="U30" s="606">
        <v>0</v>
      </c>
      <c r="V30" s="606"/>
      <c r="W30" s="610">
        <v>0</v>
      </c>
      <c r="X30" s="610">
        <v>0</v>
      </c>
      <c r="Y30" s="610" t="e">
        <f t="shared" si="12"/>
        <v>#DIV/0!</v>
      </c>
      <c r="Z30" s="9"/>
      <c r="AA30" s="9"/>
      <c r="AB30" s="9"/>
      <c r="AC30" s="9"/>
    </row>
    <row r="31" spans="1:29" ht="19.5" customHeight="1" x14ac:dyDescent="0.35">
      <c r="A31" s="75"/>
      <c r="B31" s="41">
        <v>4</v>
      </c>
      <c r="C31" s="43"/>
      <c r="D31" s="606" t="s">
        <v>63</v>
      </c>
      <c r="E31" s="607">
        <v>0</v>
      </c>
      <c r="F31" s="606">
        <v>0</v>
      </c>
      <c r="G31" s="606"/>
      <c r="H31" s="606">
        <v>0</v>
      </c>
      <c r="I31" s="606">
        <v>0</v>
      </c>
      <c r="J31" s="606"/>
      <c r="K31" s="606">
        <v>0</v>
      </c>
      <c r="L31" s="606">
        <v>0</v>
      </c>
      <c r="M31" s="606"/>
      <c r="N31" s="475">
        <v>4</v>
      </c>
      <c r="O31" s="606">
        <v>0</v>
      </c>
      <c r="P31" s="606"/>
      <c r="Q31" s="606">
        <v>0</v>
      </c>
      <c r="R31" s="606">
        <v>0</v>
      </c>
      <c r="S31" s="606"/>
      <c r="T31" s="606">
        <v>0</v>
      </c>
      <c r="U31" s="606">
        <v>0</v>
      </c>
      <c r="V31" s="606"/>
      <c r="W31" s="610">
        <v>0</v>
      </c>
      <c r="X31" s="610">
        <v>0</v>
      </c>
      <c r="Y31" s="610" t="e">
        <f t="shared" si="12"/>
        <v>#DIV/0!</v>
      </c>
      <c r="Z31" s="9"/>
      <c r="AA31" s="9"/>
      <c r="AB31" s="9"/>
      <c r="AC31" s="9"/>
    </row>
    <row r="32" spans="1:29" ht="19.5" customHeight="1" x14ac:dyDescent="0.35">
      <c r="A32" s="75"/>
      <c r="B32" s="41">
        <v>5</v>
      </c>
      <c r="C32" s="43"/>
      <c r="D32" s="606" t="s">
        <v>64</v>
      </c>
      <c r="E32" s="607">
        <v>4</v>
      </c>
      <c r="F32" s="606">
        <v>1</v>
      </c>
      <c r="G32" s="606"/>
      <c r="H32" s="606">
        <v>0</v>
      </c>
      <c r="I32" s="606">
        <v>0</v>
      </c>
      <c r="J32" s="606"/>
      <c r="K32" s="606">
        <v>0</v>
      </c>
      <c r="L32" s="606">
        <v>0</v>
      </c>
      <c r="M32" s="606"/>
      <c r="N32" s="475">
        <v>13</v>
      </c>
      <c r="O32" s="606">
        <v>0</v>
      </c>
      <c r="P32" s="606"/>
      <c r="Q32" s="606">
        <v>11</v>
      </c>
      <c r="R32" s="606">
        <v>0</v>
      </c>
      <c r="S32" s="606"/>
      <c r="T32" s="606">
        <v>0</v>
      </c>
      <c r="U32" s="606">
        <v>0</v>
      </c>
      <c r="V32" s="606"/>
      <c r="W32" s="610">
        <v>2</v>
      </c>
      <c r="X32" s="610">
        <v>1</v>
      </c>
      <c r="Y32" s="610">
        <f t="shared" si="12"/>
        <v>50</v>
      </c>
      <c r="Z32" s="9"/>
      <c r="AA32" s="9"/>
      <c r="AB32" s="9"/>
      <c r="AC32" s="9"/>
    </row>
    <row r="33" spans="1:29" ht="19.5" customHeight="1" x14ac:dyDescent="0.35">
      <c r="A33" s="75"/>
      <c r="B33" s="41">
        <v>6</v>
      </c>
      <c r="C33" s="43"/>
      <c r="D33" s="606" t="s">
        <v>65</v>
      </c>
      <c r="E33" s="607">
        <v>0</v>
      </c>
      <c r="F33" s="606">
        <v>0</v>
      </c>
      <c r="G33" s="606"/>
      <c r="H33" s="606">
        <v>0</v>
      </c>
      <c r="I33" s="606">
        <v>0</v>
      </c>
      <c r="J33" s="606"/>
      <c r="K33" s="606">
        <v>0</v>
      </c>
      <c r="L33" s="606">
        <v>0</v>
      </c>
      <c r="M33" s="606"/>
      <c r="N33" s="477">
        <v>1</v>
      </c>
      <c r="O33" s="606">
        <v>0</v>
      </c>
      <c r="P33" s="606"/>
      <c r="Q33" s="606">
        <v>0</v>
      </c>
      <c r="R33" s="606">
        <v>0</v>
      </c>
      <c r="S33" s="606"/>
      <c r="T33" s="606">
        <v>0</v>
      </c>
      <c r="U33" s="606">
        <v>0</v>
      </c>
      <c r="V33" s="606"/>
      <c r="W33" s="610">
        <v>0</v>
      </c>
      <c r="X33" s="610">
        <v>0</v>
      </c>
      <c r="Y33" s="610" t="e">
        <f t="shared" si="12"/>
        <v>#DIV/0!</v>
      </c>
      <c r="Z33" s="9"/>
      <c r="AA33" s="9"/>
      <c r="AB33" s="9"/>
      <c r="AC33" s="9"/>
    </row>
    <row r="34" spans="1:29" ht="19.5" customHeight="1" x14ac:dyDescent="0.35">
      <c r="A34" s="75"/>
      <c r="B34" s="40" t="s">
        <v>43</v>
      </c>
      <c r="C34" s="43"/>
      <c r="D34" s="606" t="s">
        <v>229</v>
      </c>
      <c r="E34" s="607">
        <v>0</v>
      </c>
      <c r="F34" s="606">
        <v>0</v>
      </c>
      <c r="G34" s="606"/>
      <c r="H34" s="606">
        <v>0</v>
      </c>
      <c r="I34" s="606">
        <v>0</v>
      </c>
      <c r="J34" s="606"/>
      <c r="K34" s="606">
        <v>0</v>
      </c>
      <c r="L34" s="606">
        <v>0</v>
      </c>
      <c r="M34" s="606"/>
      <c r="N34" s="475">
        <v>1</v>
      </c>
      <c r="O34" s="606">
        <v>0</v>
      </c>
      <c r="P34" s="606"/>
      <c r="Q34" s="606">
        <v>0</v>
      </c>
      <c r="R34" s="606">
        <v>0</v>
      </c>
      <c r="S34" s="606"/>
      <c r="T34" s="606">
        <v>0</v>
      </c>
      <c r="U34" s="606">
        <v>0</v>
      </c>
      <c r="V34" s="606"/>
      <c r="W34" s="610">
        <v>0</v>
      </c>
      <c r="X34" s="610">
        <v>0</v>
      </c>
      <c r="Y34" s="610" t="e">
        <f t="shared" si="12"/>
        <v>#DIV/0!</v>
      </c>
      <c r="Z34" s="9"/>
      <c r="AA34" s="9"/>
      <c r="AB34" s="9"/>
      <c r="AC34" s="9"/>
    </row>
    <row r="35" spans="1:29" ht="19.5" customHeight="1" x14ac:dyDescent="0.35">
      <c r="A35" s="75"/>
      <c r="B35" s="40" t="s">
        <v>57</v>
      </c>
      <c r="C35" s="43"/>
      <c r="D35" s="606" t="s">
        <v>66</v>
      </c>
      <c r="E35" s="607">
        <v>0</v>
      </c>
      <c r="F35" s="606">
        <v>0</v>
      </c>
      <c r="G35" s="606"/>
      <c r="H35" s="606">
        <v>0</v>
      </c>
      <c r="I35" s="606">
        <v>0</v>
      </c>
      <c r="J35" s="606"/>
      <c r="K35" s="606">
        <v>0</v>
      </c>
      <c r="L35" s="606">
        <v>0</v>
      </c>
      <c r="M35" s="606"/>
      <c r="N35" s="475">
        <f t="shared" ref="N35" si="13">N68</f>
        <v>1</v>
      </c>
      <c r="O35" s="606">
        <v>0</v>
      </c>
      <c r="P35" s="606"/>
      <c r="Q35" s="606">
        <v>0</v>
      </c>
      <c r="R35" s="606">
        <v>0</v>
      </c>
      <c r="S35" s="606"/>
      <c r="T35" s="606">
        <v>0</v>
      </c>
      <c r="U35" s="606">
        <v>0</v>
      </c>
      <c r="V35" s="606"/>
      <c r="W35" s="610"/>
      <c r="X35" s="610"/>
      <c r="Y35" s="610" t="e">
        <f t="shared" si="12"/>
        <v>#DIV/0!</v>
      </c>
      <c r="Z35" s="9"/>
      <c r="AA35" s="9"/>
      <c r="AB35" s="9"/>
      <c r="AC35" s="9"/>
    </row>
    <row r="36" spans="1:29" ht="19.5" customHeight="1" x14ac:dyDescent="0.35">
      <c r="A36" s="89"/>
      <c r="B36" s="90"/>
      <c r="C36" s="91"/>
      <c r="D36" s="92" t="s">
        <v>191</v>
      </c>
      <c r="E36" s="90">
        <f>SUM(E28:E35)</f>
        <v>4</v>
      </c>
      <c r="F36" s="90">
        <f t="shared" ref="F36:X36" si="14">SUM(F28:F35)</f>
        <v>1</v>
      </c>
      <c r="G36" s="90">
        <f>F36/E36*100</f>
        <v>25</v>
      </c>
      <c r="H36" s="90">
        <f t="shared" si="14"/>
        <v>0</v>
      </c>
      <c r="I36" s="90">
        <f t="shared" si="14"/>
        <v>0</v>
      </c>
      <c r="J36" s="90" t="e">
        <f>I36/H36*100</f>
        <v>#DIV/0!</v>
      </c>
      <c r="K36" s="90">
        <f t="shared" si="14"/>
        <v>0</v>
      </c>
      <c r="L36" s="90">
        <f t="shared" si="14"/>
        <v>0</v>
      </c>
      <c r="M36" s="90" t="e">
        <f>L36/K36*100</f>
        <v>#DIV/0!</v>
      </c>
      <c r="N36" s="90">
        <f t="shared" si="14"/>
        <v>22</v>
      </c>
      <c r="O36" s="90">
        <f t="shared" si="14"/>
        <v>0</v>
      </c>
      <c r="P36" s="90">
        <f>O36/N36*100</f>
        <v>0</v>
      </c>
      <c r="Q36" s="90">
        <f t="shared" si="14"/>
        <v>11</v>
      </c>
      <c r="R36" s="90">
        <f t="shared" si="14"/>
        <v>0</v>
      </c>
      <c r="S36" s="90">
        <f>R36/Q36*100</f>
        <v>0</v>
      </c>
      <c r="T36" s="90">
        <f t="shared" si="14"/>
        <v>0</v>
      </c>
      <c r="U36" s="90">
        <f t="shared" si="14"/>
        <v>0</v>
      </c>
      <c r="V36" s="90" t="e">
        <f>U36/T36*100</f>
        <v>#DIV/0!</v>
      </c>
      <c r="W36" s="90">
        <f t="shared" si="14"/>
        <v>2</v>
      </c>
      <c r="X36" s="90">
        <f t="shared" si="14"/>
        <v>1</v>
      </c>
      <c r="Y36" s="90">
        <f>X36/W36*100</f>
        <v>50</v>
      </c>
      <c r="Z36" s="9"/>
      <c r="AA36" s="9"/>
      <c r="AB36" s="9"/>
      <c r="AC36" s="9"/>
    </row>
    <row r="37" spans="1:29" ht="19.5" customHeight="1" x14ac:dyDescent="0.35">
      <c r="A37" s="77">
        <v>2</v>
      </c>
      <c r="B37" s="39">
        <v>1</v>
      </c>
      <c r="C37" s="60" t="s">
        <v>69</v>
      </c>
      <c r="D37" s="464" t="s">
        <v>70</v>
      </c>
      <c r="E37" s="471"/>
      <c r="F37" s="471"/>
      <c r="G37" s="471" t="e">
        <f>F37/E37*100</f>
        <v>#DIV/0!</v>
      </c>
      <c r="H37" s="471"/>
      <c r="I37" s="471"/>
      <c r="J37" s="471" t="e">
        <f>I37/H37*100</f>
        <v>#DIV/0!</v>
      </c>
      <c r="K37" s="471"/>
      <c r="L37" s="471"/>
      <c r="M37" s="471" t="e">
        <f>L37/K37*100</f>
        <v>#DIV/0!</v>
      </c>
      <c r="N37" s="471">
        <v>2</v>
      </c>
      <c r="O37" s="471">
        <v>1</v>
      </c>
      <c r="P37" s="471">
        <f>O37/N37*100</f>
        <v>50</v>
      </c>
      <c r="Q37" s="471"/>
      <c r="R37" s="471"/>
      <c r="S37" s="471" t="e">
        <f>R37/Q37*100</f>
        <v>#DIV/0!</v>
      </c>
      <c r="T37" s="471">
        <v>2</v>
      </c>
      <c r="U37" s="471"/>
      <c r="V37" s="471">
        <f>U37/T37*100</f>
        <v>0</v>
      </c>
      <c r="W37" s="471"/>
      <c r="X37" s="471"/>
      <c r="Y37" s="471" t="e">
        <f>X37/W37*100</f>
        <v>#DIV/0!</v>
      </c>
      <c r="Z37" s="9"/>
      <c r="AA37" s="9"/>
      <c r="AB37" s="9"/>
      <c r="AC37" s="9"/>
    </row>
    <row r="38" spans="1:29" ht="19.5" customHeight="1" x14ac:dyDescent="0.35">
      <c r="A38" s="75"/>
      <c r="B38" s="40" t="s">
        <v>41</v>
      </c>
      <c r="C38" s="43"/>
      <c r="D38" s="464" t="s">
        <v>71</v>
      </c>
      <c r="E38" s="471"/>
      <c r="F38" s="471"/>
      <c r="G38" s="471" t="e">
        <f t="shared" ref="G38:G43" si="15">F38/E38*100</f>
        <v>#DIV/0!</v>
      </c>
      <c r="H38" s="471"/>
      <c r="I38" s="471"/>
      <c r="J38" s="471" t="e">
        <f t="shared" ref="J38:J43" si="16">I38/H38*100</f>
        <v>#DIV/0!</v>
      </c>
      <c r="K38" s="471"/>
      <c r="L38" s="471"/>
      <c r="M38" s="471" t="e">
        <f t="shared" ref="M38:M43" si="17">L38/K38*100</f>
        <v>#DIV/0!</v>
      </c>
      <c r="N38" s="471">
        <v>1</v>
      </c>
      <c r="O38" s="471">
        <v>1</v>
      </c>
      <c r="P38" s="471">
        <f t="shared" ref="P38:P43" si="18">O38/N38*100</f>
        <v>100</v>
      </c>
      <c r="Q38" s="471"/>
      <c r="R38" s="471"/>
      <c r="S38" s="471" t="e">
        <f t="shared" ref="S38:S43" si="19">R38/Q38*100</f>
        <v>#DIV/0!</v>
      </c>
      <c r="T38" s="471">
        <v>5</v>
      </c>
      <c r="U38" s="471"/>
      <c r="V38" s="471">
        <f t="shared" ref="V38:V43" si="20">U38/T38*100</f>
        <v>0</v>
      </c>
      <c r="W38" s="471"/>
      <c r="X38" s="471"/>
      <c r="Y38" s="471" t="e">
        <f t="shared" ref="Y38:Y43" si="21">X38/W38*100</f>
        <v>#DIV/0!</v>
      </c>
      <c r="Z38" s="9"/>
      <c r="AA38" s="9"/>
      <c r="AB38" s="9"/>
      <c r="AC38" s="9"/>
    </row>
    <row r="39" spans="1:29" ht="19.5" customHeight="1" x14ac:dyDescent="0.35">
      <c r="A39" s="75"/>
      <c r="B39" s="40" t="s">
        <v>42</v>
      </c>
      <c r="C39" s="43"/>
      <c r="D39" s="464" t="s">
        <v>72</v>
      </c>
      <c r="E39" s="471">
        <v>1</v>
      </c>
      <c r="F39" s="471">
        <v>1</v>
      </c>
      <c r="G39" s="471">
        <f t="shared" si="15"/>
        <v>100</v>
      </c>
      <c r="H39" s="471"/>
      <c r="I39" s="471"/>
      <c r="J39" s="471" t="e">
        <f t="shared" si="16"/>
        <v>#DIV/0!</v>
      </c>
      <c r="K39" s="471"/>
      <c r="L39" s="471"/>
      <c r="M39" s="471" t="e">
        <f t="shared" si="17"/>
        <v>#DIV/0!</v>
      </c>
      <c r="N39" s="471">
        <v>2</v>
      </c>
      <c r="O39" s="471">
        <v>2</v>
      </c>
      <c r="P39" s="471">
        <f t="shared" si="18"/>
        <v>100</v>
      </c>
      <c r="Q39" s="471"/>
      <c r="R39" s="471"/>
      <c r="S39" s="471" t="e">
        <f t="shared" si="19"/>
        <v>#DIV/0!</v>
      </c>
      <c r="T39" s="471">
        <v>16</v>
      </c>
      <c r="U39" s="471"/>
      <c r="V39" s="471">
        <f t="shared" si="20"/>
        <v>0</v>
      </c>
      <c r="W39" s="471"/>
      <c r="X39" s="471"/>
      <c r="Y39" s="471" t="e">
        <f t="shared" si="21"/>
        <v>#DIV/0!</v>
      </c>
      <c r="Z39" s="9"/>
      <c r="AA39" s="9"/>
      <c r="AB39" s="9"/>
      <c r="AC39" s="9"/>
    </row>
    <row r="40" spans="1:29" ht="19.5" customHeight="1" x14ac:dyDescent="0.35">
      <c r="A40" s="75"/>
      <c r="B40" s="40">
        <v>4</v>
      </c>
      <c r="C40" s="43"/>
      <c r="D40" s="464" t="s">
        <v>73</v>
      </c>
      <c r="E40" s="471"/>
      <c r="F40" s="472"/>
      <c r="G40" s="471" t="e">
        <f t="shared" si="15"/>
        <v>#DIV/0!</v>
      </c>
      <c r="H40" s="471"/>
      <c r="I40" s="471"/>
      <c r="J40" s="471" t="e">
        <f t="shared" si="16"/>
        <v>#DIV/0!</v>
      </c>
      <c r="K40" s="471"/>
      <c r="L40" s="471"/>
      <c r="M40" s="471" t="e">
        <f t="shared" si="17"/>
        <v>#DIV/0!</v>
      </c>
      <c r="N40" s="471">
        <v>1</v>
      </c>
      <c r="O40" s="471">
        <v>1</v>
      </c>
      <c r="P40" s="471">
        <f t="shared" si="18"/>
        <v>100</v>
      </c>
      <c r="Q40" s="471"/>
      <c r="R40" s="471"/>
      <c r="S40" s="471" t="e">
        <f t="shared" si="19"/>
        <v>#DIV/0!</v>
      </c>
      <c r="T40" s="471">
        <v>3</v>
      </c>
      <c r="U40" s="471"/>
      <c r="V40" s="471">
        <f t="shared" si="20"/>
        <v>0</v>
      </c>
      <c r="W40" s="471"/>
      <c r="X40" s="471"/>
      <c r="Y40" s="471" t="e">
        <f t="shared" si="21"/>
        <v>#DIV/0!</v>
      </c>
      <c r="Z40" s="9"/>
      <c r="AA40" s="9"/>
      <c r="AB40" s="9"/>
      <c r="AC40" s="9"/>
    </row>
    <row r="41" spans="1:29" ht="19.5" customHeight="1" x14ac:dyDescent="0.35">
      <c r="A41" s="75"/>
      <c r="B41" s="40">
        <v>5</v>
      </c>
      <c r="C41" s="43"/>
      <c r="D41" s="464" t="s">
        <v>74</v>
      </c>
      <c r="E41" s="471"/>
      <c r="F41" s="472"/>
      <c r="G41" s="471" t="e">
        <f t="shared" si="15"/>
        <v>#DIV/0!</v>
      </c>
      <c r="H41" s="471"/>
      <c r="I41" s="471"/>
      <c r="J41" s="471" t="e">
        <f t="shared" si="16"/>
        <v>#DIV/0!</v>
      </c>
      <c r="K41" s="471"/>
      <c r="L41" s="471"/>
      <c r="M41" s="471" t="e">
        <f t="shared" si="17"/>
        <v>#DIV/0!</v>
      </c>
      <c r="N41" s="471"/>
      <c r="O41" s="471"/>
      <c r="P41" s="471" t="e">
        <f t="shared" si="18"/>
        <v>#DIV/0!</v>
      </c>
      <c r="Q41" s="471"/>
      <c r="R41" s="471"/>
      <c r="S41" s="471" t="e">
        <f t="shared" si="19"/>
        <v>#DIV/0!</v>
      </c>
      <c r="T41" s="471">
        <v>3</v>
      </c>
      <c r="U41" s="471"/>
      <c r="V41" s="471">
        <f t="shared" si="20"/>
        <v>0</v>
      </c>
      <c r="W41" s="471"/>
      <c r="X41" s="471"/>
      <c r="Y41" s="471" t="e">
        <f t="shared" si="21"/>
        <v>#DIV/0!</v>
      </c>
      <c r="Z41" s="9"/>
      <c r="AA41" s="9"/>
      <c r="AB41" s="9"/>
      <c r="AC41" s="9"/>
    </row>
    <row r="42" spans="1:29" ht="19.5" customHeight="1" x14ac:dyDescent="0.35">
      <c r="A42" s="75"/>
      <c r="B42" s="40">
        <v>6</v>
      </c>
      <c r="C42" s="43"/>
      <c r="D42" s="464" t="s">
        <v>75</v>
      </c>
      <c r="E42" s="471"/>
      <c r="F42" s="472"/>
      <c r="G42" s="471" t="e">
        <f t="shared" si="15"/>
        <v>#DIV/0!</v>
      </c>
      <c r="H42" s="471"/>
      <c r="I42" s="471"/>
      <c r="J42" s="471" t="e">
        <f t="shared" si="16"/>
        <v>#DIV/0!</v>
      </c>
      <c r="K42" s="471"/>
      <c r="L42" s="471"/>
      <c r="M42" s="471" t="e">
        <f t="shared" si="17"/>
        <v>#DIV/0!</v>
      </c>
      <c r="N42" s="471">
        <v>1</v>
      </c>
      <c r="O42" s="471">
        <v>1</v>
      </c>
      <c r="P42" s="471">
        <f t="shared" si="18"/>
        <v>100</v>
      </c>
      <c r="Q42" s="471"/>
      <c r="R42" s="471"/>
      <c r="S42" s="471" t="e">
        <f t="shared" si="19"/>
        <v>#DIV/0!</v>
      </c>
      <c r="T42" s="471">
        <v>5</v>
      </c>
      <c r="U42" s="471"/>
      <c r="V42" s="471">
        <f t="shared" si="20"/>
        <v>0</v>
      </c>
      <c r="W42" s="471"/>
      <c r="X42" s="471"/>
      <c r="Y42" s="471" t="e">
        <f t="shared" si="21"/>
        <v>#DIV/0!</v>
      </c>
      <c r="Z42" s="9"/>
      <c r="AA42" s="9"/>
      <c r="AB42" s="9"/>
      <c r="AC42" s="9"/>
    </row>
    <row r="43" spans="1:29" s="18" customFormat="1" ht="19.5" customHeight="1" x14ac:dyDescent="0.35">
      <c r="A43" s="316"/>
      <c r="B43" s="317">
        <v>7</v>
      </c>
      <c r="C43" s="318"/>
      <c r="D43" s="464" t="s">
        <v>76</v>
      </c>
      <c r="E43" s="471"/>
      <c r="F43" s="471"/>
      <c r="G43" s="471" t="e">
        <f t="shared" si="15"/>
        <v>#DIV/0!</v>
      </c>
      <c r="H43" s="471"/>
      <c r="I43" s="471"/>
      <c r="J43" s="471" t="e">
        <f t="shared" si="16"/>
        <v>#DIV/0!</v>
      </c>
      <c r="K43" s="471"/>
      <c r="L43" s="471"/>
      <c r="M43" s="471" t="e">
        <f t="shared" si="17"/>
        <v>#DIV/0!</v>
      </c>
      <c r="N43" s="471"/>
      <c r="O43" s="471"/>
      <c r="P43" s="471" t="e">
        <f t="shared" si="18"/>
        <v>#DIV/0!</v>
      </c>
      <c r="Q43" s="471"/>
      <c r="R43" s="471"/>
      <c r="S43" s="471" t="e">
        <f t="shared" si="19"/>
        <v>#DIV/0!</v>
      </c>
      <c r="T43" s="471">
        <v>4</v>
      </c>
      <c r="U43" s="471"/>
      <c r="V43" s="471">
        <f t="shared" si="20"/>
        <v>0</v>
      </c>
      <c r="W43" s="471"/>
      <c r="X43" s="471"/>
      <c r="Y43" s="471" t="e">
        <f t="shared" si="21"/>
        <v>#DIV/0!</v>
      </c>
      <c r="Z43" s="21"/>
      <c r="AA43" s="21"/>
      <c r="AB43" s="21"/>
      <c r="AC43" s="21"/>
    </row>
    <row r="44" spans="1:29" s="18" customFormat="1" ht="19.5" customHeight="1" x14ac:dyDescent="0.35">
      <c r="A44" s="319"/>
      <c r="B44" s="320"/>
      <c r="C44" s="321"/>
      <c r="D44" s="322"/>
      <c r="E44" s="323">
        <f>SUM(E37:E43)</f>
        <v>1</v>
      </c>
      <c r="F44" s="323">
        <f t="shared" ref="F44:X44" si="22">SUM(F37:F43)</f>
        <v>1</v>
      </c>
      <c r="G44" s="323">
        <f>F44/E44*100</f>
        <v>100</v>
      </c>
      <c r="H44" s="323">
        <f t="shared" si="22"/>
        <v>0</v>
      </c>
      <c r="I44" s="323">
        <f t="shared" si="22"/>
        <v>0</v>
      </c>
      <c r="J44" s="323" t="e">
        <f>I44/H44*100</f>
        <v>#DIV/0!</v>
      </c>
      <c r="K44" s="323">
        <f t="shared" si="22"/>
        <v>0</v>
      </c>
      <c r="L44" s="323">
        <f t="shared" si="22"/>
        <v>0</v>
      </c>
      <c r="M44" s="323" t="e">
        <f>L44/K44*100</f>
        <v>#DIV/0!</v>
      </c>
      <c r="N44" s="323">
        <f t="shared" si="22"/>
        <v>7</v>
      </c>
      <c r="O44" s="323">
        <f t="shared" si="22"/>
        <v>6</v>
      </c>
      <c r="P44" s="337">
        <f>O44/N44*100</f>
        <v>85.714285714285708</v>
      </c>
      <c r="Q44" s="323">
        <f t="shared" si="22"/>
        <v>0</v>
      </c>
      <c r="R44" s="323">
        <f t="shared" si="22"/>
        <v>0</v>
      </c>
      <c r="S44" s="323" t="e">
        <f>R44/Q44*100</f>
        <v>#DIV/0!</v>
      </c>
      <c r="T44" s="323">
        <f t="shared" si="22"/>
        <v>38</v>
      </c>
      <c r="U44" s="323">
        <f t="shared" si="22"/>
        <v>0</v>
      </c>
      <c r="V44" s="323">
        <f>U44/T44*100</f>
        <v>0</v>
      </c>
      <c r="W44" s="323">
        <f t="shared" si="22"/>
        <v>0</v>
      </c>
      <c r="X44" s="323">
        <f t="shared" si="22"/>
        <v>0</v>
      </c>
      <c r="Y44" s="323" t="e">
        <f>X44/W44*100</f>
        <v>#DIV/0!</v>
      </c>
      <c r="Z44" s="21"/>
      <c r="AA44" s="21"/>
      <c r="AB44" s="21"/>
      <c r="AC44" s="21"/>
    </row>
    <row r="45" spans="1:29" ht="19.5" customHeight="1" x14ac:dyDescent="0.35">
      <c r="A45" s="77">
        <v>3</v>
      </c>
      <c r="B45" s="412">
        <v>1</v>
      </c>
      <c r="C45" s="413" t="s">
        <v>77</v>
      </c>
      <c r="D45" s="640" t="s">
        <v>78</v>
      </c>
      <c r="E45" s="488">
        <v>1</v>
      </c>
      <c r="F45" s="488">
        <v>1</v>
      </c>
      <c r="G45" s="488">
        <f>F45/E45*100</f>
        <v>100</v>
      </c>
      <c r="H45" s="488">
        <v>0</v>
      </c>
      <c r="I45" s="488">
        <v>0</v>
      </c>
      <c r="J45" s="488" t="e">
        <v>#DIV/0!</v>
      </c>
      <c r="K45" s="488">
        <v>4</v>
      </c>
      <c r="L45" s="488"/>
      <c r="M45" s="488">
        <v>0</v>
      </c>
      <c r="N45" s="641">
        <v>3</v>
      </c>
      <c r="O45" s="641">
        <v>3</v>
      </c>
      <c r="P45" s="488">
        <f>O45/N45*100</f>
        <v>100</v>
      </c>
      <c r="Q45" s="488">
        <v>0</v>
      </c>
      <c r="R45" s="488">
        <v>0</v>
      </c>
      <c r="S45" s="488" t="e">
        <v>#DIV/0!</v>
      </c>
      <c r="T45" s="488">
        <v>0</v>
      </c>
      <c r="U45" s="488">
        <v>0</v>
      </c>
      <c r="V45" s="488" t="e">
        <v>#DIV/0!</v>
      </c>
      <c r="W45" s="488">
        <v>0</v>
      </c>
      <c r="X45" s="488">
        <v>0</v>
      </c>
      <c r="Y45" s="488" t="e">
        <f>X45/W45*100</f>
        <v>#DIV/0!</v>
      </c>
      <c r="Z45" s="9"/>
      <c r="AA45" s="9"/>
      <c r="AB45" s="9"/>
      <c r="AC45" s="9"/>
    </row>
    <row r="46" spans="1:29" ht="19.5" customHeight="1" x14ac:dyDescent="0.35">
      <c r="A46" s="75"/>
      <c r="B46" s="62" t="s">
        <v>41</v>
      </c>
      <c r="C46" s="414"/>
      <c r="D46" s="642" t="s">
        <v>79</v>
      </c>
      <c r="E46" s="488">
        <v>0</v>
      </c>
      <c r="F46" s="488">
        <v>0</v>
      </c>
      <c r="G46" s="488" t="e">
        <f t="shared" ref="G46:G51" si="23">F46/E46*100</f>
        <v>#DIV/0!</v>
      </c>
      <c r="H46" s="488">
        <v>0</v>
      </c>
      <c r="I46" s="488">
        <v>0</v>
      </c>
      <c r="J46" s="488" t="e">
        <v>#DIV/0!</v>
      </c>
      <c r="K46" s="488">
        <v>4</v>
      </c>
      <c r="L46" s="488"/>
      <c r="M46" s="488">
        <v>0</v>
      </c>
      <c r="N46" s="643">
        <v>2</v>
      </c>
      <c r="O46" s="643">
        <v>2</v>
      </c>
      <c r="P46" s="488">
        <f t="shared" ref="P46:P51" si="24">O46/N46*100</f>
        <v>100</v>
      </c>
      <c r="Q46" s="488">
        <v>0</v>
      </c>
      <c r="R46" s="488">
        <v>0</v>
      </c>
      <c r="S46" s="488" t="e">
        <v>#DIV/0!</v>
      </c>
      <c r="T46" s="488">
        <v>0</v>
      </c>
      <c r="U46" s="488">
        <v>0</v>
      </c>
      <c r="V46" s="488" t="e">
        <v>#DIV/0!</v>
      </c>
      <c r="W46" s="488">
        <v>0</v>
      </c>
      <c r="X46" s="488">
        <v>0</v>
      </c>
      <c r="Y46" s="488" t="e">
        <f t="shared" ref="Y46:Y50" si="25">X46/W46*100</f>
        <v>#DIV/0!</v>
      </c>
      <c r="Z46" s="9"/>
      <c r="AA46" s="9"/>
      <c r="AB46" s="9"/>
      <c r="AC46" s="9"/>
    </row>
    <row r="47" spans="1:29" ht="19.5" customHeight="1" x14ac:dyDescent="0.35">
      <c r="A47" s="75"/>
      <c r="B47" s="71" t="s">
        <v>42</v>
      </c>
      <c r="C47" s="67"/>
      <c r="D47" s="644" t="s">
        <v>80</v>
      </c>
      <c r="E47" s="552">
        <v>0</v>
      </c>
      <c r="F47" s="552">
        <v>0</v>
      </c>
      <c r="G47" s="488" t="e">
        <f t="shared" si="23"/>
        <v>#DIV/0!</v>
      </c>
      <c r="H47" s="552">
        <v>0</v>
      </c>
      <c r="I47" s="552">
        <v>0</v>
      </c>
      <c r="J47" s="552" t="e">
        <v>#DIV/0!</v>
      </c>
      <c r="K47" s="552">
        <v>2</v>
      </c>
      <c r="L47" s="552"/>
      <c r="M47" s="552">
        <v>0</v>
      </c>
      <c r="N47" s="552">
        <v>0</v>
      </c>
      <c r="O47" s="552">
        <v>0</v>
      </c>
      <c r="P47" s="488" t="e">
        <f t="shared" si="24"/>
        <v>#DIV/0!</v>
      </c>
      <c r="Q47" s="552">
        <v>0</v>
      </c>
      <c r="R47" s="552">
        <v>0</v>
      </c>
      <c r="S47" s="552" t="e">
        <v>#DIV/0!</v>
      </c>
      <c r="T47" s="552">
        <v>0</v>
      </c>
      <c r="U47" s="552">
        <v>0</v>
      </c>
      <c r="V47" s="552" t="e">
        <v>#DIV/0!</v>
      </c>
      <c r="W47" s="552">
        <v>0</v>
      </c>
      <c r="X47" s="552">
        <v>0</v>
      </c>
      <c r="Y47" s="488" t="e">
        <f t="shared" si="25"/>
        <v>#DIV/0!</v>
      </c>
    </row>
    <row r="48" spans="1:29" ht="19.5" customHeight="1" x14ac:dyDescent="0.35">
      <c r="A48" s="75"/>
      <c r="B48" s="415">
        <v>4</v>
      </c>
      <c r="C48" s="416"/>
      <c r="D48" s="645" t="s">
        <v>81</v>
      </c>
      <c r="E48" s="646">
        <v>0</v>
      </c>
      <c r="F48" s="646">
        <v>0</v>
      </c>
      <c r="G48" s="488" t="e">
        <f t="shared" si="23"/>
        <v>#DIV/0!</v>
      </c>
      <c r="H48" s="646">
        <v>0</v>
      </c>
      <c r="I48" s="646">
        <v>0</v>
      </c>
      <c r="J48" s="646" t="e">
        <v>#DIV/0!</v>
      </c>
      <c r="K48" s="646">
        <v>3</v>
      </c>
      <c r="L48" s="646"/>
      <c r="M48" s="646">
        <v>0</v>
      </c>
      <c r="N48" s="643">
        <v>1</v>
      </c>
      <c r="O48" s="643">
        <v>1</v>
      </c>
      <c r="P48" s="488">
        <f t="shared" si="24"/>
        <v>100</v>
      </c>
      <c r="Q48" s="646">
        <v>0</v>
      </c>
      <c r="R48" s="646">
        <v>0</v>
      </c>
      <c r="S48" s="646" t="e">
        <v>#DIV/0!</v>
      </c>
      <c r="T48" s="646">
        <v>0</v>
      </c>
      <c r="U48" s="646">
        <v>0</v>
      </c>
      <c r="V48" s="646" t="e">
        <v>#DIV/0!</v>
      </c>
      <c r="W48" s="646">
        <v>0</v>
      </c>
      <c r="X48" s="646">
        <v>0</v>
      </c>
      <c r="Y48" s="488" t="e">
        <f t="shared" si="25"/>
        <v>#DIV/0!</v>
      </c>
      <c r="Z48" s="78"/>
      <c r="AA48" s="78"/>
      <c r="AB48" s="78"/>
      <c r="AC48" s="78"/>
    </row>
    <row r="49" spans="1:29" ht="19.5" customHeight="1" x14ac:dyDescent="0.35">
      <c r="A49" s="75"/>
      <c r="B49" s="415">
        <v>5</v>
      </c>
      <c r="C49" s="416"/>
      <c r="D49" s="645" t="s">
        <v>82</v>
      </c>
      <c r="E49" s="646">
        <v>0</v>
      </c>
      <c r="F49" s="646">
        <v>0</v>
      </c>
      <c r="G49" s="488" t="e">
        <f t="shared" si="23"/>
        <v>#DIV/0!</v>
      </c>
      <c r="H49" s="646">
        <v>0</v>
      </c>
      <c r="I49" s="646">
        <v>0</v>
      </c>
      <c r="J49" s="646" t="e">
        <v>#DIV/0!</v>
      </c>
      <c r="K49" s="646">
        <v>4</v>
      </c>
      <c r="L49" s="646"/>
      <c r="M49" s="646">
        <v>0</v>
      </c>
      <c r="N49" s="646">
        <v>1</v>
      </c>
      <c r="O49" s="646">
        <v>1</v>
      </c>
      <c r="P49" s="488">
        <f t="shared" si="24"/>
        <v>100</v>
      </c>
      <c r="Q49" s="646">
        <v>0</v>
      </c>
      <c r="R49" s="646">
        <v>0</v>
      </c>
      <c r="S49" s="646" t="e">
        <v>#DIV/0!</v>
      </c>
      <c r="T49" s="646">
        <v>0</v>
      </c>
      <c r="U49" s="646">
        <v>0</v>
      </c>
      <c r="V49" s="646" t="e">
        <v>#DIV/0!</v>
      </c>
      <c r="W49" s="646">
        <v>0</v>
      </c>
      <c r="X49" s="646">
        <v>0</v>
      </c>
      <c r="Y49" s="488" t="e">
        <f t="shared" si="25"/>
        <v>#DIV/0!</v>
      </c>
      <c r="Z49" s="78"/>
      <c r="AA49" s="78"/>
      <c r="AB49" s="78"/>
      <c r="AC49" s="78"/>
    </row>
    <row r="50" spans="1:29" ht="19.5" customHeight="1" x14ac:dyDescent="0.35">
      <c r="A50" s="76"/>
      <c r="B50" s="72">
        <v>6</v>
      </c>
      <c r="C50" s="417"/>
      <c r="D50" s="647" t="s">
        <v>83</v>
      </c>
      <c r="E50" s="641">
        <v>2</v>
      </c>
      <c r="F50" s="641">
        <v>1</v>
      </c>
      <c r="G50" s="488">
        <f t="shared" si="23"/>
        <v>50</v>
      </c>
      <c r="H50" s="552">
        <v>0</v>
      </c>
      <c r="I50" s="552">
        <v>0</v>
      </c>
      <c r="J50" s="552" t="e">
        <v>#DIV/0!</v>
      </c>
      <c r="K50" s="552">
        <v>8</v>
      </c>
      <c r="L50" s="552"/>
      <c r="M50" s="552">
        <v>0</v>
      </c>
      <c r="N50" s="641">
        <v>2</v>
      </c>
      <c r="O50" s="641">
        <v>2</v>
      </c>
      <c r="P50" s="488">
        <f t="shared" si="24"/>
        <v>100</v>
      </c>
      <c r="Q50" s="552">
        <v>0</v>
      </c>
      <c r="R50" s="552">
        <v>0</v>
      </c>
      <c r="S50" s="552" t="e">
        <v>#DIV/0!</v>
      </c>
      <c r="T50" s="552">
        <v>0</v>
      </c>
      <c r="U50" s="552">
        <v>0</v>
      </c>
      <c r="V50" s="552" t="e">
        <v>#DIV/0!</v>
      </c>
      <c r="W50" s="552">
        <v>0</v>
      </c>
      <c r="X50" s="552">
        <v>0</v>
      </c>
      <c r="Y50" s="488" t="e">
        <f t="shared" si="25"/>
        <v>#DIV/0!</v>
      </c>
    </row>
    <row r="51" spans="1:29" ht="19.5" customHeight="1" x14ac:dyDescent="0.35">
      <c r="A51" s="89"/>
      <c r="B51" s="103"/>
      <c r="C51" s="104"/>
      <c r="D51" s="638"/>
      <c r="E51" s="126">
        <f>SUM(E45:E50)</f>
        <v>3</v>
      </c>
      <c r="F51" s="126">
        <f t="shared" ref="F51:X51" si="26">SUM(F45:F50)</f>
        <v>2</v>
      </c>
      <c r="G51" s="639">
        <f t="shared" si="23"/>
        <v>66.666666666666657</v>
      </c>
      <c r="H51" s="126">
        <f t="shared" si="26"/>
        <v>0</v>
      </c>
      <c r="I51" s="126">
        <f t="shared" si="26"/>
        <v>0</v>
      </c>
      <c r="J51" s="126" t="e">
        <f>I51/H51*100</f>
        <v>#DIV/0!</v>
      </c>
      <c r="K51" s="126">
        <f>SUM(K45:K50)</f>
        <v>25</v>
      </c>
      <c r="L51" s="126">
        <f t="shared" si="26"/>
        <v>0</v>
      </c>
      <c r="M51" s="126">
        <f>L51/K51*100</f>
        <v>0</v>
      </c>
      <c r="N51" s="126">
        <f t="shared" si="26"/>
        <v>9</v>
      </c>
      <c r="O51" s="126">
        <f t="shared" si="26"/>
        <v>9</v>
      </c>
      <c r="P51" s="489">
        <f t="shared" si="24"/>
        <v>100</v>
      </c>
      <c r="Q51" s="126">
        <f t="shared" si="26"/>
        <v>0</v>
      </c>
      <c r="R51" s="126">
        <f t="shared" si="26"/>
        <v>0</v>
      </c>
      <c r="S51" s="126" t="e">
        <f>R51/Q51*100</f>
        <v>#DIV/0!</v>
      </c>
      <c r="T51" s="126">
        <f t="shared" si="26"/>
        <v>0</v>
      </c>
      <c r="U51" s="126">
        <f t="shared" si="26"/>
        <v>0</v>
      </c>
      <c r="V51" s="91" t="e">
        <f>U51/T51*100</f>
        <v>#DIV/0!</v>
      </c>
      <c r="W51" s="91">
        <f t="shared" si="26"/>
        <v>0</v>
      </c>
      <c r="X51" s="91">
        <f t="shared" si="26"/>
        <v>0</v>
      </c>
      <c r="Y51" s="91" t="e">
        <f>X51/W51*100</f>
        <v>#DIV/0!</v>
      </c>
    </row>
    <row r="52" spans="1:29" ht="19.5" customHeight="1" x14ac:dyDescent="0.35">
      <c r="A52" s="75">
        <v>4</v>
      </c>
      <c r="B52" s="40">
        <v>1</v>
      </c>
      <c r="C52" s="62" t="s">
        <v>84</v>
      </c>
      <c r="D52" s="473" t="s">
        <v>90</v>
      </c>
      <c r="E52" s="475">
        <v>5</v>
      </c>
      <c r="F52" s="475">
        <v>1</v>
      </c>
      <c r="G52" s="475">
        <f>F52/E52*100</f>
        <v>20</v>
      </c>
      <c r="H52" s="526">
        <v>0</v>
      </c>
      <c r="I52" s="526">
        <v>0</v>
      </c>
      <c r="J52" s="526">
        <v>0</v>
      </c>
      <c r="K52" s="526">
        <v>0</v>
      </c>
      <c r="L52" s="526">
        <v>0</v>
      </c>
      <c r="M52" s="526">
        <v>0</v>
      </c>
      <c r="N52" s="475">
        <v>3</v>
      </c>
      <c r="O52" s="475">
        <v>0</v>
      </c>
      <c r="P52" s="475">
        <f>O52/N52*100</f>
        <v>0</v>
      </c>
      <c r="Q52" s="526">
        <v>0</v>
      </c>
      <c r="R52" s="526">
        <v>0</v>
      </c>
      <c r="S52" s="526">
        <v>0</v>
      </c>
      <c r="T52" s="475">
        <v>10</v>
      </c>
      <c r="U52" s="475">
        <v>0</v>
      </c>
      <c r="V52" s="475">
        <f>U52/T52*100</f>
        <v>0</v>
      </c>
      <c r="W52" s="475">
        <v>3</v>
      </c>
      <c r="X52" s="475">
        <v>3</v>
      </c>
      <c r="Y52" s="475">
        <f>X52/W52*100</f>
        <v>100</v>
      </c>
    </row>
    <row r="53" spans="1:29" ht="19.5" customHeight="1" x14ac:dyDescent="0.35">
      <c r="A53" s="75"/>
      <c r="B53" s="40" t="s">
        <v>41</v>
      </c>
      <c r="C53" s="43"/>
      <c r="D53" s="473" t="s">
        <v>85</v>
      </c>
      <c r="E53" s="475">
        <v>3</v>
      </c>
      <c r="F53" s="475">
        <v>0</v>
      </c>
      <c r="G53" s="475">
        <f t="shared" ref="G53:G59" si="27">F53/E53*100</f>
        <v>0</v>
      </c>
      <c r="H53" s="526">
        <v>0</v>
      </c>
      <c r="I53" s="526">
        <v>0</v>
      </c>
      <c r="J53" s="526">
        <v>0</v>
      </c>
      <c r="K53" s="526">
        <v>0</v>
      </c>
      <c r="L53" s="526">
        <v>0</v>
      </c>
      <c r="M53" s="526">
        <v>0</v>
      </c>
      <c r="N53" s="475">
        <v>1</v>
      </c>
      <c r="O53" s="475">
        <v>0</v>
      </c>
      <c r="P53" s="475">
        <f t="shared" ref="P53:P58" si="28">O53/N53*100</f>
        <v>0</v>
      </c>
      <c r="Q53" s="526">
        <v>0</v>
      </c>
      <c r="R53" s="526">
        <v>0</v>
      </c>
      <c r="S53" s="526">
        <v>0</v>
      </c>
      <c r="T53" s="475">
        <v>4</v>
      </c>
      <c r="U53" s="475">
        <v>0</v>
      </c>
      <c r="V53" s="475">
        <f t="shared" ref="V53:V58" si="29">U53/T53*100</f>
        <v>0</v>
      </c>
      <c r="W53" s="526" t="s">
        <v>254</v>
      </c>
      <c r="X53" s="526">
        <v>0</v>
      </c>
      <c r="Y53" s="526">
        <v>0</v>
      </c>
    </row>
    <row r="54" spans="1:29" ht="19.5" customHeight="1" x14ac:dyDescent="0.35">
      <c r="A54" s="75"/>
      <c r="B54" s="40" t="s">
        <v>42</v>
      </c>
      <c r="C54" s="43"/>
      <c r="D54" s="473" t="s">
        <v>86</v>
      </c>
      <c r="E54" s="477">
        <v>0</v>
      </c>
      <c r="F54" s="475">
        <v>0</v>
      </c>
      <c r="G54" s="475" t="e">
        <f t="shared" si="27"/>
        <v>#DIV/0!</v>
      </c>
      <c r="H54" s="526">
        <v>0</v>
      </c>
      <c r="I54" s="526">
        <v>0</v>
      </c>
      <c r="J54" s="526">
        <v>0</v>
      </c>
      <c r="K54" s="526">
        <v>0</v>
      </c>
      <c r="L54" s="526">
        <v>0</v>
      </c>
      <c r="M54" s="526">
        <v>0</v>
      </c>
      <c r="N54" s="477">
        <v>2</v>
      </c>
      <c r="O54" s="475">
        <v>0</v>
      </c>
      <c r="P54" s="475">
        <f t="shared" si="28"/>
        <v>0</v>
      </c>
      <c r="Q54" s="526">
        <v>0</v>
      </c>
      <c r="R54" s="526">
        <v>0</v>
      </c>
      <c r="S54" s="526">
        <v>0</v>
      </c>
      <c r="T54" s="477">
        <v>2</v>
      </c>
      <c r="U54" s="475">
        <v>0</v>
      </c>
      <c r="V54" s="475">
        <f t="shared" si="29"/>
        <v>0</v>
      </c>
      <c r="W54" s="475">
        <v>0</v>
      </c>
      <c r="X54" s="475">
        <v>0</v>
      </c>
      <c r="Y54" s="475"/>
    </row>
    <row r="55" spans="1:29" ht="19.5" customHeight="1" x14ac:dyDescent="0.35">
      <c r="A55" s="75"/>
      <c r="B55" s="41">
        <v>4</v>
      </c>
      <c r="C55" s="43"/>
      <c r="D55" s="473" t="s">
        <v>70</v>
      </c>
      <c r="E55" s="475">
        <v>2</v>
      </c>
      <c r="F55" s="475">
        <v>0</v>
      </c>
      <c r="G55" s="475">
        <f t="shared" si="27"/>
        <v>0</v>
      </c>
      <c r="H55" s="526">
        <v>0</v>
      </c>
      <c r="I55" s="526">
        <v>0</v>
      </c>
      <c r="J55" s="526">
        <v>0</v>
      </c>
      <c r="K55" s="526">
        <v>0</v>
      </c>
      <c r="L55" s="526">
        <v>0</v>
      </c>
      <c r="M55" s="526">
        <v>0</v>
      </c>
      <c r="N55" s="475">
        <v>2</v>
      </c>
      <c r="O55" s="475">
        <v>0</v>
      </c>
      <c r="P55" s="475">
        <f t="shared" si="28"/>
        <v>0</v>
      </c>
      <c r="Q55" s="526">
        <v>0</v>
      </c>
      <c r="R55" s="526">
        <v>0</v>
      </c>
      <c r="S55" s="526">
        <v>0</v>
      </c>
      <c r="T55" s="475">
        <v>8</v>
      </c>
      <c r="U55" s="475">
        <v>0</v>
      </c>
      <c r="V55" s="475">
        <f t="shared" si="29"/>
        <v>0</v>
      </c>
      <c r="W55" s="475">
        <v>0</v>
      </c>
      <c r="X55" s="475">
        <v>0</v>
      </c>
      <c r="Y55" s="475" t="e">
        <f t="shared" ref="Y55:Y58" si="30">X55/W55*100</f>
        <v>#DIV/0!</v>
      </c>
    </row>
    <row r="56" spans="1:29" ht="19.5" customHeight="1" x14ac:dyDescent="0.35">
      <c r="A56" s="75"/>
      <c r="B56" s="41">
        <v>5</v>
      </c>
      <c r="C56" s="43"/>
      <c r="D56" s="473" t="s">
        <v>87</v>
      </c>
      <c r="E56" s="475">
        <v>1</v>
      </c>
      <c r="F56" s="475">
        <v>0</v>
      </c>
      <c r="G56" s="475">
        <f t="shared" si="27"/>
        <v>0</v>
      </c>
      <c r="H56" s="526">
        <v>0</v>
      </c>
      <c r="I56" s="526">
        <v>0</v>
      </c>
      <c r="J56" s="526">
        <v>0</v>
      </c>
      <c r="K56" s="526">
        <v>0</v>
      </c>
      <c r="L56" s="526">
        <v>0</v>
      </c>
      <c r="M56" s="526">
        <v>0</v>
      </c>
      <c r="N56" s="475">
        <v>2</v>
      </c>
      <c r="O56" s="475">
        <v>1</v>
      </c>
      <c r="P56" s="475">
        <f t="shared" si="28"/>
        <v>50</v>
      </c>
      <c r="Q56" s="526">
        <v>0</v>
      </c>
      <c r="R56" s="526">
        <v>0</v>
      </c>
      <c r="S56" s="526">
        <v>0</v>
      </c>
      <c r="T56" s="475">
        <v>2</v>
      </c>
      <c r="U56" s="475">
        <v>0</v>
      </c>
      <c r="V56" s="475">
        <f t="shared" si="29"/>
        <v>0</v>
      </c>
      <c r="W56" s="475">
        <v>0</v>
      </c>
      <c r="X56" s="475">
        <v>0</v>
      </c>
      <c r="Y56" s="475" t="e">
        <f t="shared" si="30"/>
        <v>#DIV/0!</v>
      </c>
    </row>
    <row r="57" spans="1:29" ht="19.5" customHeight="1" x14ac:dyDescent="0.35">
      <c r="A57" s="75"/>
      <c r="B57" s="41">
        <v>6</v>
      </c>
      <c r="C57" s="43"/>
      <c r="D57" s="473" t="s">
        <v>88</v>
      </c>
      <c r="E57" s="477">
        <v>0</v>
      </c>
      <c r="F57" s="475">
        <v>0</v>
      </c>
      <c r="G57" s="475" t="e">
        <f t="shared" si="27"/>
        <v>#DIV/0!</v>
      </c>
      <c r="H57" s="526">
        <v>0</v>
      </c>
      <c r="I57" s="526">
        <v>0</v>
      </c>
      <c r="J57" s="526">
        <v>0</v>
      </c>
      <c r="K57" s="526">
        <v>0</v>
      </c>
      <c r="L57" s="526">
        <v>0</v>
      </c>
      <c r="M57" s="526">
        <v>0</v>
      </c>
      <c r="N57" s="477">
        <v>1</v>
      </c>
      <c r="O57" s="475">
        <v>0</v>
      </c>
      <c r="P57" s="475">
        <f t="shared" si="28"/>
        <v>0</v>
      </c>
      <c r="Q57" s="526">
        <v>0</v>
      </c>
      <c r="R57" s="526">
        <v>0</v>
      </c>
      <c r="S57" s="526">
        <v>0</v>
      </c>
      <c r="T57" s="477">
        <v>2</v>
      </c>
      <c r="U57" s="475">
        <v>0</v>
      </c>
      <c r="V57" s="475">
        <f t="shared" si="29"/>
        <v>0</v>
      </c>
      <c r="W57" s="475">
        <v>0</v>
      </c>
      <c r="X57" s="475">
        <v>0</v>
      </c>
      <c r="Y57" s="475" t="e">
        <f t="shared" si="30"/>
        <v>#DIV/0!</v>
      </c>
    </row>
    <row r="58" spans="1:29" ht="19.5" customHeight="1" x14ac:dyDescent="0.35">
      <c r="A58" s="75"/>
      <c r="B58" s="40" t="s">
        <v>43</v>
      </c>
      <c r="C58" s="43"/>
      <c r="D58" s="473" t="s">
        <v>89</v>
      </c>
      <c r="E58" s="475">
        <v>1</v>
      </c>
      <c r="F58" s="475">
        <v>0</v>
      </c>
      <c r="G58" s="475">
        <f t="shared" si="27"/>
        <v>0</v>
      </c>
      <c r="H58" s="526">
        <v>0</v>
      </c>
      <c r="I58" s="526">
        <v>0</v>
      </c>
      <c r="J58" s="526">
        <v>0</v>
      </c>
      <c r="K58" s="526">
        <v>0</v>
      </c>
      <c r="L58" s="526">
        <v>0</v>
      </c>
      <c r="M58" s="526">
        <v>0</v>
      </c>
      <c r="N58" s="475">
        <v>0</v>
      </c>
      <c r="O58" s="475">
        <v>0</v>
      </c>
      <c r="P58" s="475" t="e">
        <f t="shared" si="28"/>
        <v>#DIV/0!</v>
      </c>
      <c r="Q58" s="526">
        <v>0</v>
      </c>
      <c r="R58" s="526">
        <v>0</v>
      </c>
      <c r="S58" s="526">
        <v>0</v>
      </c>
      <c r="T58" s="475">
        <v>0</v>
      </c>
      <c r="U58" s="475">
        <v>0</v>
      </c>
      <c r="V58" s="475" t="e">
        <f t="shared" si="29"/>
        <v>#DIV/0!</v>
      </c>
      <c r="W58" s="475">
        <v>0</v>
      </c>
      <c r="X58" s="475">
        <v>0</v>
      </c>
      <c r="Y58" s="475" t="e">
        <f t="shared" si="30"/>
        <v>#DIV/0!</v>
      </c>
    </row>
    <row r="59" spans="1:29" ht="19.5" customHeight="1" x14ac:dyDescent="0.35">
      <c r="A59" s="625"/>
      <c r="B59" s="648"/>
      <c r="C59" s="126"/>
      <c r="D59" s="591"/>
      <c r="E59" s="648">
        <f>SUM(E52:E58)</f>
        <v>12</v>
      </c>
      <c r="F59" s="648">
        <f t="shared" ref="F59:X59" si="31">SUM(F52:F58)</f>
        <v>1</v>
      </c>
      <c r="G59" s="648">
        <f t="shared" si="27"/>
        <v>8.3333333333333321</v>
      </c>
      <c r="H59" s="648">
        <f t="shared" si="31"/>
        <v>0</v>
      </c>
      <c r="I59" s="648">
        <f t="shared" si="31"/>
        <v>0</v>
      </c>
      <c r="J59" s="648" t="e">
        <f>I59/H59*100</f>
        <v>#DIV/0!</v>
      </c>
      <c r="K59" s="648">
        <f t="shared" si="31"/>
        <v>0</v>
      </c>
      <c r="L59" s="648">
        <f t="shared" si="31"/>
        <v>0</v>
      </c>
      <c r="M59" s="648" t="e">
        <f>L59/K59*100</f>
        <v>#DIV/0!</v>
      </c>
      <c r="N59" s="648">
        <f t="shared" si="31"/>
        <v>11</v>
      </c>
      <c r="O59" s="648">
        <f t="shared" si="31"/>
        <v>1</v>
      </c>
      <c r="P59" s="649">
        <f>O59/N59*100</f>
        <v>9.0909090909090917</v>
      </c>
      <c r="Q59" s="648">
        <f t="shared" si="31"/>
        <v>0</v>
      </c>
      <c r="R59" s="648">
        <f t="shared" si="31"/>
        <v>0</v>
      </c>
      <c r="S59" s="648" t="e">
        <f>R59/Q59*100</f>
        <v>#DIV/0!</v>
      </c>
      <c r="T59" s="648">
        <f t="shared" si="31"/>
        <v>28</v>
      </c>
      <c r="U59" s="648">
        <f t="shared" si="31"/>
        <v>0</v>
      </c>
      <c r="V59" s="648">
        <f>U59/T59*100</f>
        <v>0</v>
      </c>
      <c r="W59" s="648">
        <f t="shared" si="31"/>
        <v>3</v>
      </c>
      <c r="X59" s="648">
        <f t="shared" si="31"/>
        <v>3</v>
      </c>
      <c r="Y59" s="648">
        <f>X59/W59*100</f>
        <v>100</v>
      </c>
    </row>
    <row r="60" spans="1:29" ht="19.5" customHeight="1" x14ac:dyDescent="0.35">
      <c r="A60" s="77">
        <v>5</v>
      </c>
      <c r="B60" s="39">
        <v>1</v>
      </c>
      <c r="C60" s="60" t="s">
        <v>77</v>
      </c>
      <c r="D60" s="521" t="s">
        <v>91</v>
      </c>
      <c r="E60" s="471">
        <v>5</v>
      </c>
      <c r="F60" s="471">
        <f>E60</f>
        <v>5</v>
      </c>
      <c r="G60" s="471">
        <f>F60/E60*100</f>
        <v>100</v>
      </c>
      <c r="H60" s="471">
        <v>0</v>
      </c>
      <c r="I60" s="471">
        <v>0</v>
      </c>
      <c r="J60" s="471">
        <v>0</v>
      </c>
      <c r="K60" s="471">
        <v>2</v>
      </c>
      <c r="L60" s="471"/>
      <c r="M60" s="522" t="s">
        <v>102</v>
      </c>
      <c r="N60" s="523">
        <v>26</v>
      </c>
      <c r="O60" s="471">
        <v>10</v>
      </c>
      <c r="P60" s="524">
        <f>O60/N60*100</f>
        <v>38.461538461538467</v>
      </c>
      <c r="Q60" s="471">
        <v>33</v>
      </c>
      <c r="R60" s="471">
        <v>10</v>
      </c>
      <c r="S60" s="471">
        <f>R60/Q60*100</f>
        <v>30.303030303030305</v>
      </c>
      <c r="T60" s="471">
        <v>30</v>
      </c>
      <c r="U60" s="471">
        <v>15</v>
      </c>
      <c r="V60" s="471">
        <f>U60/T60*100</f>
        <v>50</v>
      </c>
      <c r="W60" s="471">
        <v>0</v>
      </c>
      <c r="X60" s="471">
        <v>0</v>
      </c>
      <c r="Y60" s="471">
        <v>0</v>
      </c>
    </row>
    <row r="61" spans="1:29" ht="19.5" customHeight="1" x14ac:dyDescent="0.35">
      <c r="A61" s="75"/>
      <c r="B61" s="40" t="s">
        <v>41</v>
      </c>
      <c r="C61" s="62"/>
      <c r="D61" s="521" t="s">
        <v>92</v>
      </c>
      <c r="E61" s="471">
        <v>0</v>
      </c>
      <c r="F61" s="471">
        <f t="shared" ref="F61:F70" si="32">E61</f>
        <v>0</v>
      </c>
      <c r="G61" s="522" t="s">
        <v>102</v>
      </c>
      <c r="H61" s="471">
        <v>0</v>
      </c>
      <c r="I61" s="471">
        <v>0</v>
      </c>
      <c r="J61" s="471">
        <v>0</v>
      </c>
      <c r="K61" s="522" t="s">
        <v>102</v>
      </c>
      <c r="L61" s="522" t="s">
        <v>102</v>
      </c>
      <c r="M61" s="522" t="s">
        <v>102</v>
      </c>
      <c r="N61" s="523">
        <v>9</v>
      </c>
      <c r="O61" s="471">
        <v>5</v>
      </c>
      <c r="P61" s="524">
        <f t="shared" ref="P61:P68" si="33">O61/N61*100</f>
        <v>55.555555555555557</v>
      </c>
      <c r="Q61" s="471">
        <v>2</v>
      </c>
      <c r="R61" s="471">
        <v>2</v>
      </c>
      <c r="S61" s="471">
        <f t="shared" ref="S61" si="34">R61/Q61*100</f>
        <v>100</v>
      </c>
      <c r="T61" s="471">
        <v>10</v>
      </c>
      <c r="U61" s="471">
        <v>5</v>
      </c>
      <c r="V61" s="471">
        <f t="shared" ref="V61:V66" si="35">U61/T61*100</f>
        <v>50</v>
      </c>
      <c r="W61" s="471">
        <v>0</v>
      </c>
      <c r="X61" s="471">
        <v>0</v>
      </c>
      <c r="Y61" s="471">
        <v>0</v>
      </c>
    </row>
    <row r="62" spans="1:29" ht="19.5" customHeight="1" x14ac:dyDescent="0.35">
      <c r="A62" s="75"/>
      <c r="B62" s="40" t="s">
        <v>42</v>
      </c>
      <c r="C62" s="62"/>
      <c r="D62" s="521" t="s">
        <v>93</v>
      </c>
      <c r="E62" s="471">
        <v>0</v>
      </c>
      <c r="F62" s="471">
        <f t="shared" si="32"/>
        <v>0</v>
      </c>
      <c r="G62" s="522" t="s">
        <v>102</v>
      </c>
      <c r="H62" s="471">
        <v>0</v>
      </c>
      <c r="I62" s="471">
        <v>0</v>
      </c>
      <c r="J62" s="471">
        <v>0</v>
      </c>
      <c r="K62" s="522" t="s">
        <v>102</v>
      </c>
      <c r="L62" s="522" t="s">
        <v>102</v>
      </c>
      <c r="M62" s="522" t="s">
        <v>102</v>
      </c>
      <c r="N62" s="523">
        <v>1</v>
      </c>
      <c r="O62" s="471">
        <v>1</v>
      </c>
      <c r="P62" s="471">
        <f t="shared" si="33"/>
        <v>100</v>
      </c>
      <c r="Q62" s="471">
        <v>0</v>
      </c>
      <c r="R62" s="471">
        <v>0</v>
      </c>
      <c r="S62" s="522" t="s">
        <v>102</v>
      </c>
      <c r="T62" s="471">
        <v>7</v>
      </c>
      <c r="U62" s="471">
        <v>3</v>
      </c>
      <c r="V62" s="524">
        <f t="shared" si="35"/>
        <v>42.857142857142854</v>
      </c>
      <c r="W62" s="471">
        <v>0</v>
      </c>
      <c r="X62" s="471">
        <v>0</v>
      </c>
      <c r="Y62" s="471">
        <v>0</v>
      </c>
    </row>
    <row r="63" spans="1:29" ht="19.5" customHeight="1" x14ac:dyDescent="0.35">
      <c r="A63" s="75"/>
      <c r="B63" s="41">
        <v>4</v>
      </c>
      <c r="C63" s="62"/>
      <c r="D63" s="521" t="s">
        <v>94</v>
      </c>
      <c r="E63" s="471">
        <v>2</v>
      </c>
      <c r="F63" s="471">
        <f t="shared" si="32"/>
        <v>2</v>
      </c>
      <c r="G63" s="471">
        <f t="shared" ref="G63" si="36">F63/E63*100</f>
        <v>100</v>
      </c>
      <c r="H63" s="471">
        <v>0</v>
      </c>
      <c r="I63" s="471">
        <v>0</v>
      </c>
      <c r="J63" s="471">
        <v>0</v>
      </c>
      <c r="K63" s="522" t="s">
        <v>102</v>
      </c>
      <c r="L63" s="522" t="s">
        <v>102</v>
      </c>
      <c r="M63" s="522" t="s">
        <v>102</v>
      </c>
      <c r="N63" s="523">
        <v>2</v>
      </c>
      <c r="O63" s="471">
        <v>2</v>
      </c>
      <c r="P63" s="471">
        <f t="shared" si="33"/>
        <v>100</v>
      </c>
      <c r="Q63" s="471">
        <v>0</v>
      </c>
      <c r="R63" s="471">
        <v>0</v>
      </c>
      <c r="S63" s="522" t="s">
        <v>102</v>
      </c>
      <c r="T63" s="471">
        <v>3</v>
      </c>
      <c r="U63" s="471">
        <v>2</v>
      </c>
      <c r="V63" s="524">
        <f t="shared" si="35"/>
        <v>66.666666666666657</v>
      </c>
      <c r="W63" s="471">
        <v>0</v>
      </c>
      <c r="X63" s="471">
        <v>0</v>
      </c>
      <c r="Y63" s="471">
        <v>0</v>
      </c>
    </row>
    <row r="64" spans="1:29" ht="19.5" customHeight="1" x14ac:dyDescent="0.35">
      <c r="A64" s="75"/>
      <c r="B64" s="41">
        <v>5</v>
      </c>
      <c r="C64" s="62"/>
      <c r="D64" s="521" t="s">
        <v>95</v>
      </c>
      <c r="E64" s="471">
        <v>0</v>
      </c>
      <c r="F64" s="471">
        <f t="shared" si="32"/>
        <v>0</v>
      </c>
      <c r="G64" s="522" t="s">
        <v>102</v>
      </c>
      <c r="H64" s="471">
        <v>0</v>
      </c>
      <c r="I64" s="471">
        <v>0</v>
      </c>
      <c r="J64" s="471">
        <v>0</v>
      </c>
      <c r="K64" s="522" t="s">
        <v>102</v>
      </c>
      <c r="L64" s="522" t="s">
        <v>102</v>
      </c>
      <c r="M64" s="522" t="s">
        <v>102</v>
      </c>
      <c r="N64" s="522">
        <v>0</v>
      </c>
      <c r="O64" s="471">
        <v>0</v>
      </c>
      <c r="P64" s="471">
        <v>0</v>
      </c>
      <c r="Q64" s="471">
        <v>0</v>
      </c>
      <c r="R64" s="471">
        <v>0</v>
      </c>
      <c r="S64" s="522" t="s">
        <v>102</v>
      </c>
      <c r="T64" s="471">
        <v>3</v>
      </c>
      <c r="U64" s="471">
        <v>2</v>
      </c>
      <c r="V64" s="525">
        <f t="shared" si="35"/>
        <v>66.666666666666657</v>
      </c>
      <c r="W64" s="471">
        <v>0</v>
      </c>
      <c r="X64" s="471">
        <v>0</v>
      </c>
      <c r="Y64" s="471">
        <v>0</v>
      </c>
    </row>
    <row r="65" spans="1:25" ht="19.5" customHeight="1" x14ac:dyDescent="0.35">
      <c r="A65" s="75"/>
      <c r="B65" s="41">
        <v>6</v>
      </c>
      <c r="C65" s="62"/>
      <c r="D65" s="521" t="s">
        <v>96</v>
      </c>
      <c r="E65" s="471">
        <v>0</v>
      </c>
      <c r="F65" s="471">
        <f t="shared" si="32"/>
        <v>0</v>
      </c>
      <c r="G65" s="522" t="s">
        <v>102</v>
      </c>
      <c r="H65" s="471">
        <v>0</v>
      </c>
      <c r="I65" s="471">
        <v>0</v>
      </c>
      <c r="J65" s="471">
        <v>0</v>
      </c>
      <c r="K65" s="522" t="s">
        <v>102</v>
      </c>
      <c r="L65" s="522" t="s">
        <v>102</v>
      </c>
      <c r="M65" s="522" t="s">
        <v>102</v>
      </c>
      <c r="N65" s="523">
        <v>2</v>
      </c>
      <c r="O65" s="471">
        <v>1</v>
      </c>
      <c r="P65" s="471">
        <f t="shared" si="33"/>
        <v>50</v>
      </c>
      <c r="Q65" s="471">
        <v>0</v>
      </c>
      <c r="R65" s="471">
        <v>0</v>
      </c>
      <c r="S65" s="522" t="s">
        <v>102</v>
      </c>
      <c r="T65" s="471">
        <v>2</v>
      </c>
      <c r="U65" s="471">
        <v>1</v>
      </c>
      <c r="V65" s="471">
        <f t="shared" si="35"/>
        <v>50</v>
      </c>
      <c r="W65" s="471">
        <v>0</v>
      </c>
      <c r="X65" s="471">
        <v>0</v>
      </c>
      <c r="Y65" s="471">
        <v>0</v>
      </c>
    </row>
    <row r="66" spans="1:25" ht="19.5" customHeight="1" x14ac:dyDescent="0.35">
      <c r="A66" s="75"/>
      <c r="B66" s="40" t="s">
        <v>43</v>
      </c>
      <c r="C66" s="62"/>
      <c r="D66" s="521" t="s">
        <v>97</v>
      </c>
      <c r="E66" s="471">
        <v>0</v>
      </c>
      <c r="F66" s="471">
        <f t="shared" si="32"/>
        <v>0</v>
      </c>
      <c r="G66" s="522" t="s">
        <v>102</v>
      </c>
      <c r="H66" s="471">
        <v>0</v>
      </c>
      <c r="I66" s="471">
        <v>0</v>
      </c>
      <c r="J66" s="471">
        <v>0</v>
      </c>
      <c r="K66" s="522" t="s">
        <v>102</v>
      </c>
      <c r="L66" s="522" t="s">
        <v>102</v>
      </c>
      <c r="M66" s="522" t="s">
        <v>102</v>
      </c>
      <c r="N66" s="523">
        <v>0</v>
      </c>
      <c r="O66" s="471">
        <v>0</v>
      </c>
      <c r="P66" s="522" t="s">
        <v>102</v>
      </c>
      <c r="Q66" s="471">
        <v>1</v>
      </c>
      <c r="R66" s="471">
        <v>1</v>
      </c>
      <c r="S66" s="522" t="s">
        <v>102</v>
      </c>
      <c r="T66" s="471">
        <v>2</v>
      </c>
      <c r="U66" s="471">
        <v>1</v>
      </c>
      <c r="V66" s="471">
        <f t="shared" si="35"/>
        <v>50</v>
      </c>
      <c r="W66" s="471">
        <v>0</v>
      </c>
      <c r="X66" s="471">
        <v>0</v>
      </c>
      <c r="Y66" s="471">
        <v>0</v>
      </c>
    </row>
    <row r="67" spans="1:25" ht="19.5" customHeight="1" x14ac:dyDescent="0.35">
      <c r="A67" s="75"/>
      <c r="B67" s="40" t="s">
        <v>57</v>
      </c>
      <c r="C67" s="62"/>
      <c r="D67" s="521" t="s">
        <v>98</v>
      </c>
      <c r="E67" s="471">
        <v>0</v>
      </c>
      <c r="F67" s="471">
        <f t="shared" si="32"/>
        <v>0</v>
      </c>
      <c r="G67" s="522" t="s">
        <v>102</v>
      </c>
      <c r="H67" s="471">
        <v>0</v>
      </c>
      <c r="I67" s="471">
        <v>0</v>
      </c>
      <c r="J67" s="471">
        <v>0</v>
      </c>
      <c r="K67" s="522" t="s">
        <v>102</v>
      </c>
      <c r="L67" s="522" t="s">
        <v>102</v>
      </c>
      <c r="M67" s="522" t="s">
        <v>102</v>
      </c>
      <c r="N67" s="523">
        <v>3</v>
      </c>
      <c r="O67" s="471">
        <v>2</v>
      </c>
      <c r="P67" s="524">
        <f t="shared" si="33"/>
        <v>66.666666666666657</v>
      </c>
      <c r="Q67" s="471">
        <v>0</v>
      </c>
      <c r="R67" s="471">
        <v>0</v>
      </c>
      <c r="S67" s="522" t="s">
        <v>102</v>
      </c>
      <c r="T67" s="522" t="s">
        <v>102</v>
      </c>
      <c r="U67" s="471">
        <v>0</v>
      </c>
      <c r="V67" s="522" t="s">
        <v>102</v>
      </c>
      <c r="W67" s="471">
        <v>0</v>
      </c>
      <c r="X67" s="471">
        <v>0</v>
      </c>
      <c r="Y67" s="471">
        <v>0</v>
      </c>
    </row>
    <row r="68" spans="1:25" ht="19.5" customHeight="1" x14ac:dyDescent="0.35">
      <c r="A68" s="75"/>
      <c r="B68" s="40" t="s">
        <v>103</v>
      </c>
      <c r="C68" s="62"/>
      <c r="D68" s="521" t="s">
        <v>99</v>
      </c>
      <c r="E68" s="471">
        <v>0</v>
      </c>
      <c r="F68" s="471">
        <f t="shared" si="32"/>
        <v>0</v>
      </c>
      <c r="G68" s="522" t="s">
        <v>102</v>
      </c>
      <c r="H68" s="471">
        <v>0</v>
      </c>
      <c r="I68" s="471">
        <v>0</v>
      </c>
      <c r="J68" s="471">
        <v>0</v>
      </c>
      <c r="K68" s="522" t="s">
        <v>102</v>
      </c>
      <c r="L68" s="522" t="s">
        <v>102</v>
      </c>
      <c r="M68" s="522" t="s">
        <v>102</v>
      </c>
      <c r="N68" s="523">
        <v>1</v>
      </c>
      <c r="O68" s="471">
        <v>1</v>
      </c>
      <c r="P68" s="471">
        <f t="shared" si="33"/>
        <v>100</v>
      </c>
      <c r="Q68" s="471">
        <v>0</v>
      </c>
      <c r="R68" s="471">
        <v>0</v>
      </c>
      <c r="S68" s="522" t="s">
        <v>102</v>
      </c>
      <c r="T68" s="471">
        <v>2</v>
      </c>
      <c r="U68" s="471">
        <v>2</v>
      </c>
      <c r="V68" s="471">
        <f t="shared" ref="V68:V70" si="37">U68/T68*100</f>
        <v>100</v>
      </c>
      <c r="W68" s="471">
        <v>0</v>
      </c>
      <c r="X68" s="471">
        <v>0</v>
      </c>
      <c r="Y68" s="471">
        <v>0</v>
      </c>
    </row>
    <row r="69" spans="1:25" ht="19.5" customHeight="1" x14ac:dyDescent="0.35">
      <c r="A69" s="75"/>
      <c r="B69" s="40" t="s">
        <v>104</v>
      </c>
      <c r="C69" s="62"/>
      <c r="D69" s="521" t="s">
        <v>100</v>
      </c>
      <c r="E69" s="471">
        <v>0</v>
      </c>
      <c r="F69" s="471">
        <f t="shared" si="32"/>
        <v>0</v>
      </c>
      <c r="G69" s="522" t="s">
        <v>102</v>
      </c>
      <c r="H69" s="471">
        <v>0</v>
      </c>
      <c r="I69" s="471">
        <v>0</v>
      </c>
      <c r="J69" s="471">
        <v>0</v>
      </c>
      <c r="K69" s="522" t="s">
        <v>102</v>
      </c>
      <c r="L69" s="522" t="s">
        <v>102</v>
      </c>
      <c r="M69" s="522" t="s">
        <v>102</v>
      </c>
      <c r="N69" s="522" t="s">
        <v>102</v>
      </c>
      <c r="O69" s="471">
        <v>0</v>
      </c>
      <c r="P69" s="522" t="s">
        <v>102</v>
      </c>
      <c r="Q69" s="471">
        <v>0</v>
      </c>
      <c r="R69" s="471">
        <v>0</v>
      </c>
      <c r="S69" s="522" t="s">
        <v>102</v>
      </c>
      <c r="T69" s="471">
        <v>1</v>
      </c>
      <c r="U69" s="471">
        <v>1</v>
      </c>
      <c r="V69" s="471">
        <f t="shared" si="37"/>
        <v>100</v>
      </c>
      <c r="W69" s="471">
        <v>0</v>
      </c>
      <c r="X69" s="471">
        <v>0</v>
      </c>
      <c r="Y69" s="471">
        <v>0</v>
      </c>
    </row>
    <row r="70" spans="1:25" ht="19.5" customHeight="1" x14ac:dyDescent="0.35">
      <c r="A70" s="76"/>
      <c r="B70" s="79" t="s">
        <v>105</v>
      </c>
      <c r="C70" s="65"/>
      <c r="D70" s="521" t="s">
        <v>101</v>
      </c>
      <c r="E70" s="471">
        <v>0</v>
      </c>
      <c r="F70" s="471">
        <f t="shared" si="32"/>
        <v>0</v>
      </c>
      <c r="G70" s="522" t="s">
        <v>102</v>
      </c>
      <c r="H70" s="471">
        <v>0</v>
      </c>
      <c r="I70" s="471">
        <v>0</v>
      </c>
      <c r="J70" s="471">
        <v>0</v>
      </c>
      <c r="K70" s="522" t="s">
        <v>102</v>
      </c>
      <c r="L70" s="522" t="s">
        <v>102</v>
      </c>
      <c r="M70" s="522" t="s">
        <v>102</v>
      </c>
      <c r="N70" s="522" t="s">
        <v>102</v>
      </c>
      <c r="O70" s="471">
        <v>0</v>
      </c>
      <c r="P70" s="522" t="s">
        <v>102</v>
      </c>
      <c r="Q70" s="471">
        <v>0</v>
      </c>
      <c r="R70" s="471">
        <v>0</v>
      </c>
      <c r="S70" s="522" t="s">
        <v>102</v>
      </c>
      <c r="T70" s="471">
        <v>1</v>
      </c>
      <c r="U70" s="471">
        <v>1</v>
      </c>
      <c r="V70" s="471">
        <f t="shared" si="37"/>
        <v>100</v>
      </c>
      <c r="W70" s="471">
        <v>0</v>
      </c>
      <c r="X70" s="471">
        <v>0</v>
      </c>
      <c r="Y70" s="471">
        <v>0</v>
      </c>
    </row>
    <row r="71" spans="1:25" ht="19.5" customHeight="1" x14ac:dyDescent="0.35">
      <c r="A71" s="136"/>
      <c r="B71" s="140"/>
      <c r="C71" s="106"/>
      <c r="D71" s="324"/>
      <c r="E71" s="90">
        <f>SUM(E60:E70)</f>
        <v>7</v>
      </c>
      <c r="F71" s="90">
        <f t="shared" ref="F71:I71" si="38">SUM(F60:F70)</f>
        <v>7</v>
      </c>
      <c r="G71" s="90">
        <f>F71/E71*100</f>
        <v>100</v>
      </c>
      <c r="H71" s="90">
        <f t="shared" si="38"/>
        <v>0</v>
      </c>
      <c r="I71" s="90">
        <f t="shared" si="38"/>
        <v>0</v>
      </c>
      <c r="J71" s="90" t="e">
        <f>I71/H71*100</f>
        <v>#DIV/0!</v>
      </c>
      <c r="K71" s="325">
        <f>SUM(K60:K70)</f>
        <v>2</v>
      </c>
      <c r="L71" s="325">
        <f>SUM(L60:L70)</f>
        <v>0</v>
      </c>
      <c r="M71" s="325">
        <f>L71/K71*100</f>
        <v>0</v>
      </c>
      <c r="N71" s="325">
        <f>SUM(N60:N70)</f>
        <v>44</v>
      </c>
      <c r="O71" s="325">
        <f>SUM(O60:O70)</f>
        <v>22</v>
      </c>
      <c r="P71" s="325">
        <f>O71/N71*100</f>
        <v>50</v>
      </c>
      <c r="Q71" s="90">
        <f>SUM(Q60:Q70)</f>
        <v>36</v>
      </c>
      <c r="R71" s="90">
        <f>SUM(R60:R70)</f>
        <v>13</v>
      </c>
      <c r="S71" s="340">
        <f>R71/Q71*100</f>
        <v>36.111111111111107</v>
      </c>
      <c r="T71" s="339">
        <f>SUM(T60:T70)</f>
        <v>61</v>
      </c>
      <c r="U71" s="339">
        <f>SUM(U60:U70)</f>
        <v>33</v>
      </c>
      <c r="V71" s="339">
        <f>U71/T71*100</f>
        <v>54.098360655737707</v>
      </c>
      <c r="W71" s="90">
        <f>SUM(W60:W70)</f>
        <v>0</v>
      </c>
      <c r="X71" s="90">
        <f>SUM(X60:X70)</f>
        <v>0</v>
      </c>
      <c r="Y71" s="90" t="e">
        <f>X71/W71*100</f>
        <v>#DIV/0!</v>
      </c>
    </row>
    <row r="72" spans="1:25" ht="19.5" customHeight="1" x14ac:dyDescent="0.35">
      <c r="A72" s="77">
        <v>6</v>
      </c>
      <c r="B72" s="39">
        <v>1</v>
      </c>
      <c r="C72" s="60" t="s">
        <v>106</v>
      </c>
      <c r="D72" s="461" t="s">
        <v>107</v>
      </c>
      <c r="E72" s="622">
        <v>0</v>
      </c>
      <c r="F72" s="622">
        <v>0</v>
      </c>
      <c r="G72" s="622" t="e">
        <f>F72/E72*100</f>
        <v>#DIV/0!</v>
      </c>
      <c r="H72" s="622">
        <v>0</v>
      </c>
      <c r="I72" s="622">
        <v>0</v>
      </c>
      <c r="J72" s="622" t="e">
        <f>I72/H72*100</f>
        <v>#DIV/0!</v>
      </c>
      <c r="K72" s="622">
        <v>2</v>
      </c>
      <c r="L72" s="622">
        <v>0</v>
      </c>
      <c r="M72" s="622">
        <f>L72/K72*100</f>
        <v>0</v>
      </c>
      <c r="N72" s="622">
        <v>3</v>
      </c>
      <c r="O72" s="622">
        <v>0</v>
      </c>
      <c r="P72" s="622">
        <f>O72/N72*100</f>
        <v>0</v>
      </c>
      <c r="Q72" s="622">
        <v>3</v>
      </c>
      <c r="R72" s="622">
        <v>0</v>
      </c>
      <c r="S72" s="622">
        <f>R72/Q72*100</f>
        <v>0</v>
      </c>
      <c r="T72" s="622">
        <v>0</v>
      </c>
      <c r="U72" s="622">
        <v>0</v>
      </c>
      <c r="V72" s="622" t="e">
        <f>U72/T72*100</f>
        <v>#DIV/0!</v>
      </c>
      <c r="W72" s="622">
        <v>0</v>
      </c>
      <c r="X72" s="622">
        <v>0</v>
      </c>
      <c r="Y72" s="622" t="e">
        <f>X72/W72*100</f>
        <v>#DIV/0!</v>
      </c>
    </row>
    <row r="73" spans="1:25" ht="19.5" customHeight="1" x14ac:dyDescent="0.35">
      <c r="A73" s="75"/>
      <c r="B73" s="40" t="s">
        <v>41</v>
      </c>
      <c r="C73" s="62"/>
      <c r="D73" s="463" t="s">
        <v>108</v>
      </c>
      <c r="E73" s="622">
        <v>0</v>
      </c>
      <c r="F73" s="622">
        <v>0</v>
      </c>
      <c r="G73" s="623" t="e">
        <f t="shared" ref="G73:G83" si="39">F73/E73*100</f>
        <v>#DIV/0!</v>
      </c>
      <c r="H73" s="622">
        <v>0</v>
      </c>
      <c r="I73" s="622">
        <v>0</v>
      </c>
      <c r="J73" s="623" t="e">
        <f t="shared" ref="J73:J83" si="40">I73/H73*100</f>
        <v>#DIV/0!</v>
      </c>
      <c r="K73" s="623">
        <v>1</v>
      </c>
      <c r="L73" s="623">
        <v>0</v>
      </c>
      <c r="M73" s="623">
        <f t="shared" ref="M73:M83" si="41">L73/K73*100</f>
        <v>0</v>
      </c>
      <c r="N73" s="623">
        <v>1</v>
      </c>
      <c r="O73" s="623">
        <v>0</v>
      </c>
      <c r="P73" s="623">
        <f t="shared" ref="P73:P83" si="42">O73/N73*100</f>
        <v>0</v>
      </c>
      <c r="Q73" s="623">
        <v>0</v>
      </c>
      <c r="R73" s="623">
        <v>0</v>
      </c>
      <c r="S73" s="623" t="e">
        <f t="shared" ref="S73:S83" si="43">R73/Q73*100</f>
        <v>#DIV/0!</v>
      </c>
      <c r="T73" s="623">
        <v>0</v>
      </c>
      <c r="U73" s="622">
        <v>0</v>
      </c>
      <c r="V73" s="623" t="e">
        <f t="shared" ref="V73:V83" si="44">U73/T73*100</f>
        <v>#DIV/0!</v>
      </c>
      <c r="W73" s="623">
        <v>0</v>
      </c>
      <c r="X73" s="622">
        <v>0</v>
      </c>
      <c r="Y73" s="623" t="e">
        <f t="shared" ref="Y73:Y83" si="45">X73/W73*100</f>
        <v>#DIV/0!</v>
      </c>
    </row>
    <row r="74" spans="1:25" ht="19.5" customHeight="1" x14ac:dyDescent="0.35">
      <c r="A74" s="75"/>
      <c r="B74" s="40" t="s">
        <v>42</v>
      </c>
      <c r="C74" s="62"/>
      <c r="D74" s="463" t="s">
        <v>109</v>
      </c>
      <c r="E74" s="622">
        <v>0</v>
      </c>
      <c r="F74" s="622">
        <v>0</v>
      </c>
      <c r="G74" s="623" t="e">
        <f t="shared" si="39"/>
        <v>#DIV/0!</v>
      </c>
      <c r="H74" s="622">
        <v>0</v>
      </c>
      <c r="I74" s="622">
        <v>0</v>
      </c>
      <c r="J74" s="623" t="e">
        <f t="shared" si="40"/>
        <v>#DIV/0!</v>
      </c>
      <c r="K74" s="623">
        <v>0</v>
      </c>
      <c r="L74" s="623">
        <v>0</v>
      </c>
      <c r="M74" s="623" t="e">
        <f t="shared" si="41"/>
        <v>#DIV/0!</v>
      </c>
      <c r="N74" s="623">
        <v>2</v>
      </c>
      <c r="O74" s="623">
        <v>0</v>
      </c>
      <c r="P74" s="623">
        <f t="shared" si="42"/>
        <v>0</v>
      </c>
      <c r="Q74" s="623">
        <v>1</v>
      </c>
      <c r="R74" s="623">
        <v>0</v>
      </c>
      <c r="S74" s="623">
        <f t="shared" si="43"/>
        <v>0</v>
      </c>
      <c r="T74" s="623">
        <v>0</v>
      </c>
      <c r="U74" s="622">
        <v>0</v>
      </c>
      <c r="V74" s="623" t="e">
        <f t="shared" si="44"/>
        <v>#DIV/0!</v>
      </c>
      <c r="W74" s="623">
        <v>0</v>
      </c>
      <c r="X74" s="622">
        <v>0</v>
      </c>
      <c r="Y74" s="623" t="e">
        <f t="shared" si="45"/>
        <v>#DIV/0!</v>
      </c>
    </row>
    <row r="75" spans="1:25" ht="19.5" customHeight="1" x14ac:dyDescent="0.35">
      <c r="A75" s="75"/>
      <c r="B75" s="41">
        <v>4</v>
      </c>
      <c r="C75" s="62"/>
      <c r="D75" s="463" t="s">
        <v>110</v>
      </c>
      <c r="E75" s="622">
        <v>0</v>
      </c>
      <c r="F75" s="622">
        <v>0</v>
      </c>
      <c r="G75" s="623" t="e">
        <f t="shared" si="39"/>
        <v>#DIV/0!</v>
      </c>
      <c r="H75" s="622">
        <v>0</v>
      </c>
      <c r="I75" s="622">
        <v>0</v>
      </c>
      <c r="J75" s="623" t="e">
        <f t="shared" si="40"/>
        <v>#DIV/0!</v>
      </c>
      <c r="K75" s="623">
        <v>0</v>
      </c>
      <c r="L75" s="623">
        <v>0</v>
      </c>
      <c r="M75" s="623" t="e">
        <f t="shared" si="41"/>
        <v>#DIV/0!</v>
      </c>
      <c r="N75" s="623">
        <v>3</v>
      </c>
      <c r="O75" s="623">
        <v>0</v>
      </c>
      <c r="P75" s="623">
        <f t="shared" si="42"/>
        <v>0</v>
      </c>
      <c r="Q75" s="623">
        <v>0</v>
      </c>
      <c r="R75" s="623">
        <v>0</v>
      </c>
      <c r="S75" s="623" t="e">
        <f t="shared" si="43"/>
        <v>#DIV/0!</v>
      </c>
      <c r="T75" s="623">
        <v>0</v>
      </c>
      <c r="U75" s="622">
        <v>0</v>
      </c>
      <c r="V75" s="623" t="e">
        <f t="shared" si="44"/>
        <v>#DIV/0!</v>
      </c>
      <c r="W75" s="623">
        <v>0</v>
      </c>
      <c r="X75" s="622">
        <v>0</v>
      </c>
      <c r="Y75" s="623" t="e">
        <f t="shared" si="45"/>
        <v>#DIV/0!</v>
      </c>
    </row>
    <row r="76" spans="1:25" ht="19.5" customHeight="1" x14ac:dyDescent="0.35">
      <c r="A76" s="75"/>
      <c r="B76" s="41">
        <v>5</v>
      </c>
      <c r="C76" s="62"/>
      <c r="D76" s="463" t="s">
        <v>111</v>
      </c>
      <c r="E76" s="622">
        <v>0</v>
      </c>
      <c r="F76" s="622">
        <v>0</v>
      </c>
      <c r="G76" s="623" t="e">
        <f t="shared" si="39"/>
        <v>#DIV/0!</v>
      </c>
      <c r="H76" s="622">
        <v>0</v>
      </c>
      <c r="I76" s="622">
        <v>0</v>
      </c>
      <c r="J76" s="623" t="e">
        <f t="shared" si="40"/>
        <v>#DIV/0!</v>
      </c>
      <c r="K76" s="623">
        <v>0</v>
      </c>
      <c r="L76" s="623">
        <v>0</v>
      </c>
      <c r="M76" s="623" t="e">
        <f t="shared" si="41"/>
        <v>#DIV/0!</v>
      </c>
      <c r="N76" s="623">
        <v>1</v>
      </c>
      <c r="O76" s="623">
        <v>0</v>
      </c>
      <c r="P76" s="623">
        <f t="shared" si="42"/>
        <v>0</v>
      </c>
      <c r="Q76" s="623">
        <v>0</v>
      </c>
      <c r="R76" s="623">
        <v>0</v>
      </c>
      <c r="S76" s="623" t="e">
        <f t="shared" si="43"/>
        <v>#DIV/0!</v>
      </c>
      <c r="T76" s="623">
        <v>0</v>
      </c>
      <c r="U76" s="622">
        <v>0</v>
      </c>
      <c r="V76" s="623" t="e">
        <f t="shared" si="44"/>
        <v>#DIV/0!</v>
      </c>
      <c r="W76" s="623">
        <v>0</v>
      </c>
      <c r="X76" s="622">
        <v>0</v>
      </c>
      <c r="Y76" s="623" t="e">
        <f t="shared" si="45"/>
        <v>#DIV/0!</v>
      </c>
    </row>
    <row r="77" spans="1:25" ht="19.5" customHeight="1" x14ac:dyDescent="0.35">
      <c r="A77" s="75"/>
      <c r="B77" s="41">
        <v>6</v>
      </c>
      <c r="C77" s="62"/>
      <c r="D77" s="463" t="s">
        <v>112</v>
      </c>
      <c r="E77" s="622">
        <v>0</v>
      </c>
      <c r="F77" s="622">
        <v>0</v>
      </c>
      <c r="G77" s="623" t="e">
        <f t="shared" si="39"/>
        <v>#DIV/0!</v>
      </c>
      <c r="H77" s="622">
        <v>0</v>
      </c>
      <c r="I77" s="622">
        <v>0</v>
      </c>
      <c r="J77" s="623" t="e">
        <f t="shared" si="40"/>
        <v>#DIV/0!</v>
      </c>
      <c r="K77" s="623">
        <v>0</v>
      </c>
      <c r="L77" s="623">
        <v>0</v>
      </c>
      <c r="M77" s="623" t="e">
        <f t="shared" si="41"/>
        <v>#DIV/0!</v>
      </c>
      <c r="N77" s="623">
        <v>2</v>
      </c>
      <c r="O77" s="623">
        <v>1</v>
      </c>
      <c r="P77" s="623">
        <f t="shared" si="42"/>
        <v>50</v>
      </c>
      <c r="Q77" s="623">
        <v>0</v>
      </c>
      <c r="R77" s="623">
        <v>0</v>
      </c>
      <c r="S77" s="623" t="e">
        <f t="shared" si="43"/>
        <v>#DIV/0!</v>
      </c>
      <c r="T77" s="623">
        <v>0</v>
      </c>
      <c r="U77" s="622">
        <v>0</v>
      </c>
      <c r="V77" s="623" t="e">
        <f t="shared" si="44"/>
        <v>#DIV/0!</v>
      </c>
      <c r="W77" s="623">
        <v>0</v>
      </c>
      <c r="X77" s="622">
        <v>0</v>
      </c>
      <c r="Y77" s="623" t="e">
        <f t="shared" si="45"/>
        <v>#DIV/0!</v>
      </c>
    </row>
    <row r="78" spans="1:25" ht="19.5" customHeight="1" x14ac:dyDescent="0.35">
      <c r="A78" s="75"/>
      <c r="B78" s="40" t="s">
        <v>43</v>
      </c>
      <c r="C78" s="62"/>
      <c r="D78" s="463" t="s">
        <v>113</v>
      </c>
      <c r="E78" s="622">
        <v>0</v>
      </c>
      <c r="F78" s="622">
        <v>0</v>
      </c>
      <c r="G78" s="623" t="e">
        <f t="shared" si="39"/>
        <v>#DIV/0!</v>
      </c>
      <c r="H78" s="622">
        <v>0</v>
      </c>
      <c r="I78" s="622">
        <v>0</v>
      </c>
      <c r="J78" s="623" t="e">
        <f t="shared" si="40"/>
        <v>#DIV/0!</v>
      </c>
      <c r="K78" s="623">
        <v>3</v>
      </c>
      <c r="L78" s="623">
        <v>1</v>
      </c>
      <c r="M78" s="623">
        <f t="shared" si="41"/>
        <v>33.333333333333329</v>
      </c>
      <c r="N78" s="623">
        <v>0</v>
      </c>
      <c r="O78" s="623">
        <v>0</v>
      </c>
      <c r="P78" s="623" t="e">
        <f t="shared" si="42"/>
        <v>#DIV/0!</v>
      </c>
      <c r="Q78" s="623">
        <v>0</v>
      </c>
      <c r="R78" s="623">
        <v>0</v>
      </c>
      <c r="S78" s="623" t="e">
        <f t="shared" si="43"/>
        <v>#DIV/0!</v>
      </c>
      <c r="T78" s="623">
        <v>0</v>
      </c>
      <c r="U78" s="622">
        <v>0</v>
      </c>
      <c r="V78" s="623" t="e">
        <f t="shared" si="44"/>
        <v>#DIV/0!</v>
      </c>
      <c r="W78" s="623">
        <v>0</v>
      </c>
      <c r="X78" s="622">
        <v>0</v>
      </c>
      <c r="Y78" s="623" t="e">
        <f t="shared" si="45"/>
        <v>#DIV/0!</v>
      </c>
    </row>
    <row r="79" spans="1:25" ht="19.5" customHeight="1" x14ac:dyDescent="0.35">
      <c r="A79" s="75"/>
      <c r="B79" s="40" t="s">
        <v>57</v>
      </c>
      <c r="C79" s="62"/>
      <c r="D79" s="463" t="s">
        <v>114</v>
      </c>
      <c r="E79" s="622">
        <v>0</v>
      </c>
      <c r="F79" s="622">
        <v>0</v>
      </c>
      <c r="G79" s="623" t="e">
        <f t="shared" si="39"/>
        <v>#DIV/0!</v>
      </c>
      <c r="H79" s="622">
        <v>0</v>
      </c>
      <c r="I79" s="622">
        <v>0</v>
      </c>
      <c r="J79" s="623" t="e">
        <f t="shared" si="40"/>
        <v>#DIV/0!</v>
      </c>
      <c r="K79" s="623">
        <v>0</v>
      </c>
      <c r="L79" s="623">
        <v>0</v>
      </c>
      <c r="M79" s="623" t="e">
        <f t="shared" si="41"/>
        <v>#DIV/0!</v>
      </c>
      <c r="N79" s="623">
        <v>0</v>
      </c>
      <c r="O79" s="623">
        <v>0</v>
      </c>
      <c r="P79" s="623" t="e">
        <f t="shared" si="42"/>
        <v>#DIV/0!</v>
      </c>
      <c r="Q79" s="623">
        <v>0</v>
      </c>
      <c r="R79" s="623">
        <v>0</v>
      </c>
      <c r="S79" s="623" t="e">
        <f t="shared" si="43"/>
        <v>#DIV/0!</v>
      </c>
      <c r="T79" s="623">
        <v>0</v>
      </c>
      <c r="U79" s="622">
        <v>0</v>
      </c>
      <c r="V79" s="623" t="e">
        <f t="shared" si="44"/>
        <v>#DIV/0!</v>
      </c>
      <c r="W79" s="623">
        <v>0</v>
      </c>
      <c r="X79" s="622">
        <v>0</v>
      </c>
      <c r="Y79" s="623" t="e">
        <f t="shared" si="45"/>
        <v>#DIV/0!</v>
      </c>
    </row>
    <row r="80" spans="1:25" ht="19.5" customHeight="1" x14ac:dyDescent="0.35">
      <c r="A80" s="75"/>
      <c r="B80" s="40" t="s">
        <v>103</v>
      </c>
      <c r="C80" s="62"/>
      <c r="D80" s="463" t="s">
        <v>115</v>
      </c>
      <c r="E80" s="622">
        <v>0</v>
      </c>
      <c r="F80" s="622">
        <v>0</v>
      </c>
      <c r="G80" s="623" t="e">
        <f t="shared" si="39"/>
        <v>#DIV/0!</v>
      </c>
      <c r="H80" s="622">
        <v>0</v>
      </c>
      <c r="I80" s="622">
        <v>0</v>
      </c>
      <c r="J80" s="623" t="e">
        <f t="shared" si="40"/>
        <v>#DIV/0!</v>
      </c>
      <c r="K80" s="623">
        <v>1</v>
      </c>
      <c r="L80" s="623">
        <v>0</v>
      </c>
      <c r="M80" s="623">
        <f t="shared" si="41"/>
        <v>0</v>
      </c>
      <c r="N80" s="623">
        <v>1</v>
      </c>
      <c r="O80" s="623">
        <v>0</v>
      </c>
      <c r="P80" s="623">
        <f t="shared" si="42"/>
        <v>0</v>
      </c>
      <c r="Q80" s="623">
        <v>0</v>
      </c>
      <c r="R80" s="623">
        <v>0</v>
      </c>
      <c r="S80" s="623" t="e">
        <f t="shared" si="43"/>
        <v>#DIV/0!</v>
      </c>
      <c r="T80" s="623">
        <v>0</v>
      </c>
      <c r="U80" s="622">
        <v>0</v>
      </c>
      <c r="V80" s="623" t="e">
        <f t="shared" si="44"/>
        <v>#DIV/0!</v>
      </c>
      <c r="W80" s="623">
        <v>0</v>
      </c>
      <c r="X80" s="622">
        <v>0</v>
      </c>
      <c r="Y80" s="623" t="e">
        <f t="shared" si="45"/>
        <v>#DIV/0!</v>
      </c>
    </row>
    <row r="81" spans="1:25" ht="19.5" customHeight="1" x14ac:dyDescent="0.35">
      <c r="A81" s="75"/>
      <c r="B81" s="40" t="s">
        <v>104</v>
      </c>
      <c r="C81" s="62"/>
      <c r="D81" s="463" t="s">
        <v>116</v>
      </c>
      <c r="E81" s="622">
        <v>0</v>
      </c>
      <c r="F81" s="622">
        <v>0</v>
      </c>
      <c r="G81" s="623" t="e">
        <f t="shared" si="39"/>
        <v>#DIV/0!</v>
      </c>
      <c r="H81" s="622">
        <v>0</v>
      </c>
      <c r="I81" s="622">
        <v>0</v>
      </c>
      <c r="J81" s="623" t="e">
        <f t="shared" si="40"/>
        <v>#DIV/0!</v>
      </c>
      <c r="K81" s="623">
        <v>0</v>
      </c>
      <c r="L81" s="623">
        <v>0</v>
      </c>
      <c r="M81" s="623" t="e">
        <f t="shared" si="41"/>
        <v>#DIV/0!</v>
      </c>
      <c r="N81" s="623">
        <v>2</v>
      </c>
      <c r="O81" s="623">
        <v>0</v>
      </c>
      <c r="P81" s="623">
        <f t="shared" si="42"/>
        <v>0</v>
      </c>
      <c r="Q81" s="623">
        <v>0</v>
      </c>
      <c r="R81" s="623">
        <v>0</v>
      </c>
      <c r="S81" s="623" t="e">
        <f t="shared" si="43"/>
        <v>#DIV/0!</v>
      </c>
      <c r="T81" s="623">
        <v>0</v>
      </c>
      <c r="U81" s="622">
        <v>0</v>
      </c>
      <c r="V81" s="623" t="e">
        <f t="shared" si="44"/>
        <v>#DIV/0!</v>
      </c>
      <c r="W81" s="623">
        <v>0</v>
      </c>
      <c r="X81" s="622">
        <v>0</v>
      </c>
      <c r="Y81" s="623" t="e">
        <f t="shared" si="45"/>
        <v>#DIV/0!</v>
      </c>
    </row>
    <row r="82" spans="1:25" ht="19.5" customHeight="1" x14ac:dyDescent="0.35">
      <c r="A82" s="75"/>
      <c r="B82" s="40" t="s">
        <v>105</v>
      </c>
      <c r="C82" s="62"/>
      <c r="D82" s="463" t="s">
        <v>117</v>
      </c>
      <c r="E82" s="622">
        <v>0</v>
      </c>
      <c r="F82" s="622">
        <v>0</v>
      </c>
      <c r="G82" s="623" t="e">
        <f t="shared" si="39"/>
        <v>#DIV/0!</v>
      </c>
      <c r="H82" s="622">
        <v>0</v>
      </c>
      <c r="I82" s="622">
        <v>0</v>
      </c>
      <c r="J82" s="623" t="e">
        <f t="shared" si="40"/>
        <v>#DIV/0!</v>
      </c>
      <c r="K82" s="623">
        <v>0</v>
      </c>
      <c r="L82" s="623">
        <v>0</v>
      </c>
      <c r="M82" s="623" t="e">
        <f t="shared" si="41"/>
        <v>#DIV/0!</v>
      </c>
      <c r="N82" s="623">
        <v>0</v>
      </c>
      <c r="O82" s="623">
        <v>0</v>
      </c>
      <c r="P82" s="623" t="e">
        <f t="shared" si="42"/>
        <v>#DIV/0!</v>
      </c>
      <c r="Q82" s="623">
        <v>0</v>
      </c>
      <c r="R82" s="623">
        <v>0</v>
      </c>
      <c r="S82" s="623" t="e">
        <f t="shared" si="43"/>
        <v>#DIV/0!</v>
      </c>
      <c r="T82" s="623">
        <v>0</v>
      </c>
      <c r="U82" s="622">
        <v>0</v>
      </c>
      <c r="V82" s="623" t="e">
        <f t="shared" si="44"/>
        <v>#DIV/0!</v>
      </c>
      <c r="W82" s="623">
        <v>0</v>
      </c>
      <c r="X82" s="622">
        <v>0</v>
      </c>
      <c r="Y82" s="623" t="e">
        <f t="shared" si="45"/>
        <v>#DIV/0!</v>
      </c>
    </row>
    <row r="83" spans="1:25" ht="19.5" customHeight="1" x14ac:dyDescent="0.35">
      <c r="A83" s="75"/>
      <c r="B83" s="40" t="s">
        <v>119</v>
      </c>
      <c r="C83" s="62"/>
      <c r="D83" s="463" t="s">
        <v>118</v>
      </c>
      <c r="E83" s="622">
        <v>0</v>
      </c>
      <c r="F83" s="622">
        <v>0</v>
      </c>
      <c r="G83" s="623" t="e">
        <f t="shared" si="39"/>
        <v>#DIV/0!</v>
      </c>
      <c r="H83" s="622">
        <v>0</v>
      </c>
      <c r="I83" s="622">
        <v>0</v>
      </c>
      <c r="J83" s="623" t="e">
        <f t="shared" si="40"/>
        <v>#DIV/0!</v>
      </c>
      <c r="K83" s="623">
        <v>0</v>
      </c>
      <c r="L83" s="623">
        <v>0</v>
      </c>
      <c r="M83" s="623" t="e">
        <f t="shared" si="41"/>
        <v>#DIV/0!</v>
      </c>
      <c r="N83" s="623">
        <v>0</v>
      </c>
      <c r="O83" s="623">
        <v>0</v>
      </c>
      <c r="P83" s="623" t="e">
        <f t="shared" si="42"/>
        <v>#DIV/0!</v>
      </c>
      <c r="Q83" s="623">
        <v>0</v>
      </c>
      <c r="R83" s="623">
        <v>0</v>
      </c>
      <c r="S83" s="623" t="e">
        <f t="shared" si="43"/>
        <v>#DIV/0!</v>
      </c>
      <c r="T83" s="623">
        <v>0</v>
      </c>
      <c r="U83" s="622">
        <v>0</v>
      </c>
      <c r="V83" s="623" t="e">
        <f t="shared" si="44"/>
        <v>#DIV/0!</v>
      </c>
      <c r="W83" s="623">
        <v>0</v>
      </c>
      <c r="X83" s="622">
        <v>0</v>
      </c>
      <c r="Y83" s="623" t="e">
        <f t="shared" si="45"/>
        <v>#DIV/0!</v>
      </c>
    </row>
    <row r="84" spans="1:25" ht="19.5" customHeight="1" x14ac:dyDescent="0.35">
      <c r="A84" s="89"/>
      <c r="B84" s="90"/>
      <c r="C84" s="92"/>
      <c r="D84" s="92"/>
      <c r="E84" s="90">
        <f>SUM(E72:E83)</f>
        <v>0</v>
      </c>
      <c r="F84" s="90">
        <f t="shared" ref="F84:J84" si="46">SUM(F72:F83)</f>
        <v>0</v>
      </c>
      <c r="G84" s="338" t="e">
        <f>F84/E84*100</f>
        <v>#DIV/0!</v>
      </c>
      <c r="H84" s="90">
        <f t="shared" si="46"/>
        <v>0</v>
      </c>
      <c r="I84" s="90">
        <f t="shared" si="46"/>
        <v>0</v>
      </c>
      <c r="J84" s="90" t="e">
        <f t="shared" si="46"/>
        <v>#DIV/0!</v>
      </c>
      <c r="K84" s="342">
        <f>SUM(K72:K83)</f>
        <v>7</v>
      </c>
      <c r="L84" s="342">
        <f>SUM(L72:L83)</f>
        <v>1</v>
      </c>
      <c r="M84" s="342">
        <f>L84/K84*100</f>
        <v>14.285714285714285</v>
      </c>
      <c r="N84" s="90">
        <f>SUM(N72:N83)</f>
        <v>15</v>
      </c>
      <c r="O84" s="90">
        <f>SUM(O72:O83)</f>
        <v>1</v>
      </c>
      <c r="P84" s="339">
        <f>O84/N84*100</f>
        <v>6.666666666666667</v>
      </c>
      <c r="Q84" s="90">
        <f>SUM(Q72:Q83)</f>
        <v>4</v>
      </c>
      <c r="R84" s="90">
        <f>SUM(R72:R83)</f>
        <v>0</v>
      </c>
      <c r="S84" s="90">
        <f>R84/Q84*100</f>
        <v>0</v>
      </c>
      <c r="T84" s="90">
        <f>SUM(T72:T83)</f>
        <v>0</v>
      </c>
      <c r="U84" s="90">
        <f>SUM(U72:U83)</f>
        <v>0</v>
      </c>
      <c r="V84" s="90" t="e">
        <f>U84/T84*100</f>
        <v>#DIV/0!</v>
      </c>
      <c r="W84" s="90">
        <f>SUM(W72:W83)</f>
        <v>0</v>
      </c>
      <c r="X84" s="90">
        <f>SUM(X72:X83)</f>
        <v>0</v>
      </c>
      <c r="Y84" s="90" t="e">
        <f>X84/W84*100</f>
        <v>#DIV/0!</v>
      </c>
    </row>
    <row r="85" spans="1:25" ht="19.5" customHeight="1" x14ac:dyDescent="0.35">
      <c r="A85" s="77">
        <v>7</v>
      </c>
      <c r="B85" s="59">
        <v>1</v>
      </c>
      <c r="C85" s="60" t="s">
        <v>126</v>
      </c>
      <c r="D85" s="473" t="s">
        <v>230</v>
      </c>
      <c r="E85" s="477">
        <v>0</v>
      </c>
      <c r="F85" s="477">
        <v>0</v>
      </c>
      <c r="G85" s="477">
        <v>0</v>
      </c>
      <c r="H85" s="477">
        <v>0</v>
      </c>
      <c r="I85" s="477">
        <v>0</v>
      </c>
      <c r="J85" s="477">
        <v>0</v>
      </c>
      <c r="K85" s="477">
        <v>0</v>
      </c>
      <c r="L85" s="477">
        <v>0</v>
      </c>
      <c r="M85" s="477" t="e">
        <f>L85/K85*100</f>
        <v>#DIV/0!</v>
      </c>
      <c r="N85" s="475">
        <v>5</v>
      </c>
      <c r="O85" s="477">
        <v>3</v>
      </c>
      <c r="P85" s="477">
        <f>O85/N85*100</f>
        <v>60</v>
      </c>
      <c r="Q85" s="477">
        <v>2</v>
      </c>
      <c r="R85" s="477">
        <v>2</v>
      </c>
      <c r="S85" s="477">
        <f>R85/Q85*100</f>
        <v>100</v>
      </c>
      <c r="T85" s="475">
        <v>1</v>
      </c>
      <c r="U85" s="475">
        <v>1</v>
      </c>
      <c r="V85" s="477">
        <f>U85/T85*100</f>
        <v>100</v>
      </c>
      <c r="W85" s="475">
        <v>2</v>
      </c>
      <c r="X85" s="475">
        <v>0</v>
      </c>
      <c r="Y85" s="477">
        <v>0</v>
      </c>
    </row>
    <row r="86" spans="1:25" ht="19.5" customHeight="1" x14ac:dyDescent="0.35">
      <c r="A86" s="75"/>
      <c r="B86" s="61" t="s">
        <v>41</v>
      </c>
      <c r="C86" s="62"/>
      <c r="D86" s="473" t="s">
        <v>231</v>
      </c>
      <c r="E86" s="477">
        <v>0</v>
      </c>
      <c r="F86" s="477">
        <v>0</v>
      </c>
      <c r="G86" s="477">
        <v>0</v>
      </c>
      <c r="H86" s="477">
        <v>0</v>
      </c>
      <c r="I86" s="477">
        <v>0</v>
      </c>
      <c r="J86" s="477">
        <v>0</v>
      </c>
      <c r="K86" s="477">
        <v>0</v>
      </c>
      <c r="L86" s="477">
        <v>0</v>
      </c>
      <c r="M86" s="477" t="e">
        <f t="shared" ref="M86:M94" si="47">L86/K86*100</f>
        <v>#DIV/0!</v>
      </c>
      <c r="N86" s="475">
        <v>1</v>
      </c>
      <c r="O86" s="477">
        <v>0</v>
      </c>
      <c r="P86" s="477">
        <f t="shared" ref="P86:P94" si="48">O86/N86*100</f>
        <v>0</v>
      </c>
      <c r="Q86" s="477">
        <v>4</v>
      </c>
      <c r="R86" s="477">
        <v>3</v>
      </c>
      <c r="S86" s="477">
        <f t="shared" ref="S86:S94" si="49">R86/Q86*100</f>
        <v>75</v>
      </c>
      <c r="T86" s="475">
        <v>1</v>
      </c>
      <c r="U86" s="475">
        <v>1</v>
      </c>
      <c r="V86" s="477">
        <f t="shared" ref="V86:V94" si="50">U86/T86*100</f>
        <v>100</v>
      </c>
      <c r="W86" s="477">
        <v>1</v>
      </c>
      <c r="X86" s="477">
        <v>0</v>
      </c>
      <c r="Y86" s="477">
        <v>0</v>
      </c>
    </row>
    <row r="87" spans="1:25" ht="19.5" customHeight="1" x14ac:dyDescent="0.35">
      <c r="A87" s="75"/>
      <c r="B87" s="61" t="s">
        <v>42</v>
      </c>
      <c r="C87" s="62"/>
      <c r="D87" s="473" t="s">
        <v>232</v>
      </c>
      <c r="E87" s="477">
        <v>0</v>
      </c>
      <c r="F87" s="477">
        <v>0</v>
      </c>
      <c r="G87" s="477">
        <v>0</v>
      </c>
      <c r="H87" s="477">
        <v>0</v>
      </c>
      <c r="I87" s="477">
        <v>0</v>
      </c>
      <c r="J87" s="477">
        <v>0</v>
      </c>
      <c r="K87" s="477">
        <v>1</v>
      </c>
      <c r="L87" s="477">
        <v>1</v>
      </c>
      <c r="M87" s="477">
        <f t="shared" si="47"/>
        <v>100</v>
      </c>
      <c r="N87" s="477">
        <v>4</v>
      </c>
      <c r="O87" s="477">
        <v>3</v>
      </c>
      <c r="P87" s="477">
        <f t="shared" si="48"/>
        <v>75</v>
      </c>
      <c r="Q87" s="477">
        <v>0</v>
      </c>
      <c r="R87" s="477">
        <v>0</v>
      </c>
      <c r="S87" s="477" t="e">
        <f t="shared" si="49"/>
        <v>#DIV/0!</v>
      </c>
      <c r="T87" s="477">
        <v>1</v>
      </c>
      <c r="U87" s="477">
        <v>1</v>
      </c>
      <c r="V87" s="477">
        <f t="shared" si="50"/>
        <v>100</v>
      </c>
      <c r="W87" s="475">
        <v>0</v>
      </c>
      <c r="X87" s="475">
        <v>0</v>
      </c>
      <c r="Y87" s="477">
        <v>0</v>
      </c>
    </row>
    <row r="88" spans="1:25" ht="19.5" customHeight="1" x14ac:dyDescent="0.35">
      <c r="A88" s="75"/>
      <c r="B88" s="63">
        <v>4</v>
      </c>
      <c r="C88" s="62"/>
      <c r="D88" s="473" t="s">
        <v>233</v>
      </c>
      <c r="E88" s="477">
        <v>0</v>
      </c>
      <c r="F88" s="477">
        <v>0</v>
      </c>
      <c r="G88" s="477">
        <v>0</v>
      </c>
      <c r="H88" s="477">
        <v>0</v>
      </c>
      <c r="I88" s="477">
        <v>0</v>
      </c>
      <c r="J88" s="477">
        <v>0</v>
      </c>
      <c r="K88" s="477">
        <v>0</v>
      </c>
      <c r="L88" s="477">
        <v>0</v>
      </c>
      <c r="M88" s="477" t="e">
        <f t="shared" si="47"/>
        <v>#DIV/0!</v>
      </c>
      <c r="N88" s="475">
        <v>0</v>
      </c>
      <c r="O88" s="477">
        <v>0</v>
      </c>
      <c r="P88" s="477" t="e">
        <f t="shared" si="48"/>
        <v>#DIV/0!</v>
      </c>
      <c r="Q88" s="477">
        <v>0</v>
      </c>
      <c r="R88" s="477">
        <v>0</v>
      </c>
      <c r="S88" s="477" t="e">
        <f t="shared" si="49"/>
        <v>#DIV/0!</v>
      </c>
      <c r="T88" s="477">
        <v>0</v>
      </c>
      <c r="U88" s="477">
        <v>0</v>
      </c>
      <c r="V88" s="477" t="e">
        <f t="shared" si="50"/>
        <v>#DIV/0!</v>
      </c>
      <c r="W88" s="475">
        <v>1</v>
      </c>
      <c r="X88" s="475">
        <v>0</v>
      </c>
      <c r="Y88" s="477">
        <v>0</v>
      </c>
    </row>
    <row r="89" spans="1:25" ht="19.5" customHeight="1" x14ac:dyDescent="0.35">
      <c r="A89" s="75"/>
      <c r="B89" s="63">
        <v>5</v>
      </c>
      <c r="C89" s="62"/>
      <c r="D89" s="473" t="s">
        <v>239</v>
      </c>
      <c r="E89" s="477">
        <v>0</v>
      </c>
      <c r="F89" s="477">
        <v>0</v>
      </c>
      <c r="G89" s="477">
        <v>0</v>
      </c>
      <c r="H89" s="477">
        <v>0</v>
      </c>
      <c r="I89" s="477">
        <v>0</v>
      </c>
      <c r="J89" s="477">
        <v>0</v>
      </c>
      <c r="K89" s="477">
        <v>0</v>
      </c>
      <c r="L89" s="477">
        <v>0</v>
      </c>
      <c r="M89" s="477" t="e">
        <f t="shared" si="47"/>
        <v>#DIV/0!</v>
      </c>
      <c r="N89" s="475">
        <v>2</v>
      </c>
      <c r="O89" s="477">
        <v>1</v>
      </c>
      <c r="P89" s="477">
        <f t="shared" si="48"/>
        <v>50</v>
      </c>
      <c r="Q89" s="477">
        <v>0</v>
      </c>
      <c r="R89" s="477">
        <v>0</v>
      </c>
      <c r="S89" s="477" t="e">
        <f t="shared" si="49"/>
        <v>#DIV/0!</v>
      </c>
      <c r="T89" s="477">
        <v>1</v>
      </c>
      <c r="U89" s="477">
        <v>0</v>
      </c>
      <c r="V89" s="477">
        <f t="shared" si="50"/>
        <v>0</v>
      </c>
      <c r="W89" s="475">
        <v>1</v>
      </c>
      <c r="X89" s="475">
        <v>0</v>
      </c>
      <c r="Y89" s="477">
        <v>0</v>
      </c>
    </row>
    <row r="90" spans="1:25" ht="19.5" customHeight="1" x14ac:dyDescent="0.35">
      <c r="A90" s="75"/>
      <c r="C90" s="62"/>
      <c r="D90" s="473" t="s">
        <v>240</v>
      </c>
      <c r="E90" s="477">
        <v>0</v>
      </c>
      <c r="F90" s="477">
        <v>0</v>
      </c>
      <c r="G90" s="477">
        <v>0</v>
      </c>
      <c r="H90" s="477">
        <v>0</v>
      </c>
      <c r="I90" s="477">
        <v>0</v>
      </c>
      <c r="J90" s="477">
        <v>0</v>
      </c>
      <c r="K90" s="477">
        <v>0</v>
      </c>
      <c r="L90" s="477">
        <v>0</v>
      </c>
      <c r="M90" s="477" t="e">
        <f t="shared" si="47"/>
        <v>#DIV/0!</v>
      </c>
      <c r="N90" s="517">
        <v>0</v>
      </c>
      <c r="O90" s="477">
        <v>0</v>
      </c>
      <c r="P90" s="477" t="e">
        <f t="shared" si="48"/>
        <v>#DIV/0!</v>
      </c>
      <c r="Q90" s="477">
        <v>0</v>
      </c>
      <c r="R90" s="477">
        <v>0</v>
      </c>
      <c r="S90" s="477" t="e">
        <f t="shared" si="49"/>
        <v>#DIV/0!</v>
      </c>
      <c r="T90" s="477">
        <v>0</v>
      </c>
      <c r="U90" s="477">
        <v>0</v>
      </c>
      <c r="V90" s="477" t="e">
        <f t="shared" si="50"/>
        <v>#DIV/0!</v>
      </c>
      <c r="W90" s="475">
        <v>0</v>
      </c>
      <c r="X90" s="475">
        <v>0</v>
      </c>
      <c r="Y90" s="477">
        <v>0</v>
      </c>
    </row>
    <row r="91" spans="1:25" ht="19.5" customHeight="1" x14ac:dyDescent="0.35">
      <c r="A91" s="75"/>
      <c r="B91" s="63">
        <v>6</v>
      </c>
      <c r="C91" s="62"/>
      <c r="D91" s="473" t="s">
        <v>235</v>
      </c>
      <c r="E91" s="477">
        <v>0</v>
      </c>
      <c r="F91" s="477">
        <v>0</v>
      </c>
      <c r="G91" s="477">
        <v>0</v>
      </c>
      <c r="H91" s="477">
        <v>0</v>
      </c>
      <c r="I91" s="477">
        <v>0</v>
      </c>
      <c r="J91" s="477">
        <v>0</v>
      </c>
      <c r="K91" s="477">
        <v>0</v>
      </c>
      <c r="L91" s="477">
        <v>0</v>
      </c>
      <c r="M91" s="477" t="e">
        <f t="shared" si="47"/>
        <v>#DIV/0!</v>
      </c>
      <c r="N91" s="479">
        <v>0</v>
      </c>
      <c r="O91" s="477">
        <v>0</v>
      </c>
      <c r="P91" s="477" t="e">
        <f t="shared" si="48"/>
        <v>#DIV/0!</v>
      </c>
      <c r="Q91" s="477">
        <v>0</v>
      </c>
      <c r="R91" s="477">
        <v>0</v>
      </c>
      <c r="S91" s="477" t="e">
        <f t="shared" si="49"/>
        <v>#DIV/0!</v>
      </c>
      <c r="T91" s="477">
        <v>0</v>
      </c>
      <c r="U91" s="477">
        <v>0</v>
      </c>
      <c r="V91" s="477" t="e">
        <f t="shared" si="50"/>
        <v>#DIV/0!</v>
      </c>
      <c r="W91" s="475">
        <v>2</v>
      </c>
      <c r="X91" s="475">
        <v>0</v>
      </c>
      <c r="Y91" s="477">
        <v>0</v>
      </c>
    </row>
    <row r="92" spans="1:25" ht="19.5" customHeight="1" x14ac:dyDescent="0.35">
      <c r="A92" s="75"/>
      <c r="B92" s="61" t="s">
        <v>43</v>
      </c>
      <c r="C92" s="62"/>
      <c r="D92" s="520" t="s">
        <v>236</v>
      </c>
      <c r="E92" s="477">
        <v>0</v>
      </c>
      <c r="F92" s="477">
        <v>0</v>
      </c>
      <c r="G92" s="477">
        <v>0</v>
      </c>
      <c r="H92" s="477">
        <v>0</v>
      </c>
      <c r="I92" s="477">
        <v>0</v>
      </c>
      <c r="J92" s="477">
        <v>0</v>
      </c>
      <c r="K92" s="477">
        <v>0</v>
      </c>
      <c r="L92" s="477">
        <v>0</v>
      </c>
      <c r="M92" s="477" t="e">
        <f t="shared" si="47"/>
        <v>#DIV/0!</v>
      </c>
      <c r="N92" s="469">
        <v>0</v>
      </c>
      <c r="O92" s="477">
        <v>0</v>
      </c>
      <c r="P92" s="477" t="e">
        <f t="shared" si="48"/>
        <v>#DIV/0!</v>
      </c>
      <c r="Q92" s="477">
        <v>0</v>
      </c>
      <c r="R92" s="477">
        <v>0</v>
      </c>
      <c r="S92" s="477" t="e">
        <f t="shared" si="49"/>
        <v>#DIV/0!</v>
      </c>
      <c r="T92" s="477">
        <v>0</v>
      </c>
      <c r="U92" s="477">
        <v>0</v>
      </c>
      <c r="V92" s="477" t="e">
        <f t="shared" si="50"/>
        <v>#DIV/0!</v>
      </c>
      <c r="W92" s="477">
        <v>2</v>
      </c>
      <c r="X92" s="477">
        <v>0</v>
      </c>
      <c r="Y92" s="477">
        <v>0</v>
      </c>
    </row>
    <row r="93" spans="1:25" ht="19.5" customHeight="1" x14ac:dyDescent="0.35">
      <c r="A93" s="75"/>
      <c r="B93" s="61" t="s">
        <v>57</v>
      </c>
      <c r="C93" s="62"/>
      <c r="D93" s="520" t="s">
        <v>237</v>
      </c>
      <c r="E93" s="477">
        <v>0</v>
      </c>
      <c r="F93" s="477">
        <v>0</v>
      </c>
      <c r="G93" s="477">
        <v>0</v>
      </c>
      <c r="H93" s="477">
        <v>0</v>
      </c>
      <c r="I93" s="477">
        <v>0</v>
      </c>
      <c r="J93" s="477">
        <v>0</v>
      </c>
      <c r="K93" s="477">
        <v>0</v>
      </c>
      <c r="L93" s="477">
        <v>0</v>
      </c>
      <c r="M93" s="477" t="e">
        <f t="shared" si="47"/>
        <v>#DIV/0!</v>
      </c>
      <c r="N93" s="479">
        <v>0</v>
      </c>
      <c r="O93" s="477">
        <v>0</v>
      </c>
      <c r="P93" s="477" t="e">
        <f t="shared" si="48"/>
        <v>#DIV/0!</v>
      </c>
      <c r="Q93" s="477">
        <v>0</v>
      </c>
      <c r="R93" s="477">
        <v>0</v>
      </c>
      <c r="S93" s="477" t="e">
        <f t="shared" si="49"/>
        <v>#DIV/0!</v>
      </c>
      <c r="T93" s="475">
        <v>2</v>
      </c>
      <c r="U93" s="475">
        <v>1</v>
      </c>
      <c r="V93" s="477">
        <f t="shared" si="50"/>
        <v>50</v>
      </c>
      <c r="W93" s="477">
        <v>3</v>
      </c>
      <c r="X93" s="477">
        <v>0</v>
      </c>
      <c r="Y93" s="477">
        <v>0</v>
      </c>
    </row>
    <row r="94" spans="1:25" ht="19.5" customHeight="1" x14ac:dyDescent="0.35">
      <c r="A94" s="76"/>
      <c r="B94" s="64" t="s">
        <v>103</v>
      </c>
      <c r="C94" s="65"/>
      <c r="D94" s="518" t="s">
        <v>238</v>
      </c>
      <c r="E94" s="477">
        <v>0</v>
      </c>
      <c r="F94" s="477">
        <v>0</v>
      </c>
      <c r="G94" s="477">
        <v>0</v>
      </c>
      <c r="H94" s="477">
        <v>0</v>
      </c>
      <c r="I94" s="477">
        <v>0</v>
      </c>
      <c r="J94" s="477">
        <v>0</v>
      </c>
      <c r="K94" s="477">
        <v>0</v>
      </c>
      <c r="L94" s="477">
        <v>0</v>
      </c>
      <c r="M94" s="477" t="e">
        <f t="shared" si="47"/>
        <v>#DIV/0!</v>
      </c>
      <c r="N94" s="477">
        <v>2</v>
      </c>
      <c r="O94" s="477">
        <v>2</v>
      </c>
      <c r="P94" s="477">
        <f t="shared" si="48"/>
        <v>100</v>
      </c>
      <c r="Q94" s="477">
        <v>2</v>
      </c>
      <c r="R94" s="477">
        <v>1</v>
      </c>
      <c r="S94" s="477">
        <f t="shared" si="49"/>
        <v>50</v>
      </c>
      <c r="T94" s="488">
        <v>2</v>
      </c>
      <c r="U94" s="488">
        <v>1</v>
      </c>
      <c r="V94" s="477">
        <f t="shared" si="50"/>
        <v>50</v>
      </c>
      <c r="W94" s="477">
        <v>1</v>
      </c>
      <c r="X94" s="477">
        <v>0</v>
      </c>
      <c r="Y94" s="477">
        <v>0</v>
      </c>
    </row>
    <row r="95" spans="1:25" ht="19.5" customHeight="1" x14ac:dyDescent="0.35">
      <c r="A95" s="89"/>
      <c r="B95" s="142"/>
      <c r="C95" s="92"/>
      <c r="D95" s="92"/>
      <c r="E95" s="90">
        <f>SUM(E85:E94)</f>
        <v>0</v>
      </c>
      <c r="F95" s="90">
        <f>SUM(F85:F94)</f>
        <v>0</v>
      </c>
      <c r="G95" s="90" t="e">
        <f>F95/E95*100</f>
        <v>#DIV/0!</v>
      </c>
      <c r="H95" s="141">
        <f>SUM(H85:H94)</f>
        <v>0</v>
      </c>
      <c r="I95" s="141">
        <f>SUM(I85:I94)</f>
        <v>0</v>
      </c>
      <c r="J95" s="141" t="e">
        <f>I95/H95*100</f>
        <v>#DIV/0!</v>
      </c>
      <c r="K95" s="141">
        <f>SUM(K85:K94)</f>
        <v>1</v>
      </c>
      <c r="L95" s="141">
        <f>SUM(L85:L94)</f>
        <v>1</v>
      </c>
      <c r="M95" s="141">
        <f>L95/K95*100</f>
        <v>100</v>
      </c>
      <c r="N95" s="341">
        <f>SUM(N85:N94)</f>
        <v>14</v>
      </c>
      <c r="O95" s="341">
        <f>SUM(O85:O94)</f>
        <v>9</v>
      </c>
      <c r="P95" s="90">
        <f>O95/N95*100</f>
        <v>64.285714285714292</v>
      </c>
      <c r="Q95" s="141">
        <f>SUM(Q85:Q94)</f>
        <v>8</v>
      </c>
      <c r="R95" s="141">
        <f>SUM(R85:R94)</f>
        <v>6</v>
      </c>
      <c r="S95" s="141">
        <f>R95/Q95*100</f>
        <v>75</v>
      </c>
      <c r="T95" s="141">
        <f>SUM(T85:T94)</f>
        <v>8</v>
      </c>
      <c r="U95" s="141">
        <f>SUM(U85:U94)</f>
        <v>5</v>
      </c>
      <c r="V95" s="477">
        <f>U95/T95*100</f>
        <v>62.5</v>
      </c>
      <c r="W95" s="90">
        <f>SUM(W85:W94)</f>
        <v>13</v>
      </c>
      <c r="X95" s="90">
        <f>SUM(X85:X94)</f>
        <v>0</v>
      </c>
      <c r="Y95" s="90">
        <f>X95/W95*100</f>
        <v>0</v>
      </c>
    </row>
    <row r="96" spans="1:25" ht="19.5" customHeight="1" x14ac:dyDescent="0.35">
      <c r="A96" s="75">
        <v>8</v>
      </c>
      <c r="B96" s="40">
        <v>1</v>
      </c>
      <c r="C96" s="3" t="s">
        <v>127</v>
      </c>
      <c r="D96" s="473" t="s">
        <v>128</v>
      </c>
      <c r="E96" s="474"/>
      <c r="F96" s="475"/>
      <c r="G96" s="475" t="e">
        <v>#DIV/0!</v>
      </c>
      <c r="H96" s="475"/>
      <c r="I96" s="475"/>
      <c r="J96" s="475" t="e">
        <v>#DIV/0!</v>
      </c>
      <c r="K96" s="475"/>
      <c r="L96" s="475"/>
      <c r="M96" s="475" t="e">
        <v>#DIV/0!</v>
      </c>
      <c r="N96" s="475">
        <v>3</v>
      </c>
      <c r="O96" s="475">
        <v>2</v>
      </c>
      <c r="P96" s="475">
        <v>66.666666666666657</v>
      </c>
      <c r="Q96" s="475">
        <v>7</v>
      </c>
      <c r="R96" s="475">
        <v>4</v>
      </c>
      <c r="S96" s="475">
        <v>100</v>
      </c>
      <c r="T96" s="475"/>
      <c r="U96" s="475"/>
      <c r="V96" s="475">
        <v>0</v>
      </c>
      <c r="W96" s="475">
        <v>1</v>
      </c>
      <c r="X96" s="475"/>
      <c r="Y96" s="475" t="e">
        <v>#DIV/0!</v>
      </c>
    </row>
    <row r="97" spans="1:25" ht="19.5" customHeight="1" x14ac:dyDescent="0.35">
      <c r="A97" s="75"/>
      <c r="B97" s="40" t="s">
        <v>41</v>
      </c>
      <c r="C97" s="43"/>
      <c r="D97" s="473" t="s">
        <v>129</v>
      </c>
      <c r="E97" s="474"/>
      <c r="F97" s="475"/>
      <c r="G97" s="475" t="e">
        <v>#DIV/0!</v>
      </c>
      <c r="H97" s="475"/>
      <c r="I97" s="475"/>
      <c r="J97" s="475" t="e">
        <v>#DIV/0!</v>
      </c>
      <c r="K97" s="475"/>
      <c r="L97" s="475"/>
      <c r="M97" s="475" t="e">
        <v>#DIV/0!</v>
      </c>
      <c r="N97" s="475">
        <v>0</v>
      </c>
      <c r="O97" s="475">
        <v>0</v>
      </c>
      <c r="P97" s="475" t="e">
        <v>#DIV/0!</v>
      </c>
      <c r="Q97" s="475">
        <v>0</v>
      </c>
      <c r="R97" s="475"/>
      <c r="S97" s="475" t="e">
        <v>#DIV/0!</v>
      </c>
      <c r="T97" s="475"/>
      <c r="U97" s="475"/>
      <c r="V97" s="475" t="e">
        <v>#DIV/0!</v>
      </c>
      <c r="W97" s="475">
        <v>0</v>
      </c>
      <c r="X97" s="475"/>
      <c r="Y97" s="475" t="e">
        <v>#DIV/0!</v>
      </c>
    </row>
    <row r="98" spans="1:25" ht="19.5" customHeight="1" x14ac:dyDescent="0.35">
      <c r="A98" s="75"/>
      <c r="B98" s="40" t="s">
        <v>42</v>
      </c>
      <c r="C98" s="43"/>
      <c r="D98" s="473" t="s">
        <v>130</v>
      </c>
      <c r="E98" s="474"/>
      <c r="F98" s="475"/>
      <c r="G98" s="475" t="e">
        <v>#DIV/0!</v>
      </c>
      <c r="H98" s="475"/>
      <c r="I98" s="475"/>
      <c r="J98" s="475" t="e">
        <v>#DIV/0!</v>
      </c>
      <c r="K98" s="475"/>
      <c r="L98" s="475"/>
      <c r="M98" s="475" t="e">
        <v>#DIV/0!</v>
      </c>
      <c r="N98" s="475">
        <v>1</v>
      </c>
      <c r="O98" s="475">
        <v>0</v>
      </c>
      <c r="P98" s="475">
        <v>0</v>
      </c>
      <c r="Q98" s="475">
        <v>1</v>
      </c>
      <c r="R98" s="475"/>
      <c r="S98" s="475">
        <v>0</v>
      </c>
      <c r="T98" s="475"/>
      <c r="U98" s="475"/>
      <c r="V98" s="475">
        <v>100</v>
      </c>
      <c r="W98" s="477">
        <v>5</v>
      </c>
      <c r="X98" s="475"/>
      <c r="Y98" s="475" t="e">
        <v>#DIV/0!</v>
      </c>
    </row>
    <row r="99" spans="1:25" ht="19.5" customHeight="1" x14ac:dyDescent="0.35">
      <c r="A99" s="75"/>
      <c r="B99" s="41">
        <v>4</v>
      </c>
      <c r="C99" s="43"/>
      <c r="D99" s="473" t="s">
        <v>131</v>
      </c>
      <c r="E99" s="474"/>
      <c r="F99" s="476"/>
      <c r="G99" s="475" t="e">
        <v>#DIV/0!</v>
      </c>
      <c r="H99" s="475"/>
      <c r="I99" s="475"/>
      <c r="J99" s="475" t="e">
        <v>#DIV/0!</v>
      </c>
      <c r="K99" s="475"/>
      <c r="L99" s="475"/>
      <c r="M99" s="475" t="e">
        <v>#DIV/0!</v>
      </c>
      <c r="N99" s="475">
        <v>1</v>
      </c>
      <c r="O99" s="475">
        <v>1</v>
      </c>
      <c r="P99" s="475">
        <v>100</v>
      </c>
      <c r="Q99" s="475">
        <v>1</v>
      </c>
      <c r="R99" s="475">
        <v>0</v>
      </c>
      <c r="S99" s="475">
        <v>0</v>
      </c>
      <c r="T99" s="475"/>
      <c r="U99" s="475"/>
      <c r="V99" s="475" t="e">
        <v>#DIV/0!</v>
      </c>
      <c r="W99" s="475">
        <f t="shared" ref="W99" si="51">W167</f>
        <v>0</v>
      </c>
      <c r="X99" s="475"/>
      <c r="Y99" s="475" t="e">
        <v>#DIV/0!</v>
      </c>
    </row>
    <row r="100" spans="1:25" ht="19.5" customHeight="1" x14ac:dyDescent="0.35">
      <c r="A100" s="75"/>
      <c r="B100" s="41">
        <v>5</v>
      </c>
      <c r="C100" s="43"/>
      <c r="D100" s="473" t="s">
        <v>132</v>
      </c>
      <c r="E100" s="474"/>
      <c r="F100" s="476"/>
      <c r="G100" s="475" t="e">
        <v>#DIV/0!</v>
      </c>
      <c r="H100" s="475"/>
      <c r="I100" s="475"/>
      <c r="J100" s="475" t="e">
        <v>#DIV/0!</v>
      </c>
      <c r="K100" s="475"/>
      <c r="L100" s="475"/>
      <c r="M100" s="475" t="e">
        <v>#DIV/0!</v>
      </c>
      <c r="N100" s="475">
        <v>5</v>
      </c>
      <c r="O100" s="475">
        <v>5</v>
      </c>
      <c r="P100" s="475">
        <v>100</v>
      </c>
      <c r="Q100" s="475">
        <v>0</v>
      </c>
      <c r="R100" s="475">
        <v>0</v>
      </c>
      <c r="S100" s="475" t="e">
        <v>#DIV/0!</v>
      </c>
      <c r="T100" s="475"/>
      <c r="U100" s="475"/>
      <c r="V100" s="475" t="e">
        <v>#DIV/0!</v>
      </c>
      <c r="W100" s="475">
        <f t="shared" ref="W100" si="52">W127</f>
        <v>2</v>
      </c>
      <c r="X100" s="475"/>
      <c r="Y100" s="475" t="e">
        <v>#DIV/0!</v>
      </c>
    </row>
    <row r="101" spans="1:25" ht="19.5" customHeight="1" x14ac:dyDescent="0.35">
      <c r="A101" s="75"/>
      <c r="B101" s="41">
        <v>6</v>
      </c>
      <c r="C101" s="43"/>
      <c r="D101" s="473" t="s">
        <v>133</v>
      </c>
      <c r="E101" s="474"/>
      <c r="F101" s="476"/>
      <c r="G101" s="475" t="e">
        <v>#DIV/0!</v>
      </c>
      <c r="H101" s="475"/>
      <c r="I101" s="475"/>
      <c r="J101" s="475" t="e">
        <v>#DIV/0!</v>
      </c>
      <c r="K101" s="475"/>
      <c r="L101" s="475"/>
      <c r="M101" s="475" t="e">
        <v>#DIV/0!</v>
      </c>
      <c r="N101" s="475">
        <v>1</v>
      </c>
      <c r="O101" s="475">
        <v>0</v>
      </c>
      <c r="P101" s="475">
        <v>0</v>
      </c>
      <c r="Q101" s="475">
        <v>1</v>
      </c>
      <c r="R101" s="475">
        <v>1</v>
      </c>
      <c r="S101" s="475">
        <v>100</v>
      </c>
      <c r="T101" s="475"/>
      <c r="U101" s="475"/>
      <c r="V101" s="475" t="e">
        <v>#DIV/0!</v>
      </c>
      <c r="W101" s="477">
        <v>1</v>
      </c>
      <c r="X101" s="475"/>
      <c r="Y101" s="475" t="e">
        <v>#DIV/0!</v>
      </c>
    </row>
    <row r="102" spans="1:25" ht="19.5" customHeight="1" x14ac:dyDescent="0.35">
      <c r="A102" s="75"/>
      <c r="B102" s="40" t="s">
        <v>43</v>
      </c>
      <c r="C102" s="43"/>
      <c r="D102" s="473" t="s">
        <v>134</v>
      </c>
      <c r="E102" s="474"/>
      <c r="F102" s="475"/>
      <c r="G102" s="475" t="e">
        <v>#DIV/0!</v>
      </c>
      <c r="H102" s="475"/>
      <c r="I102" s="475"/>
      <c r="J102" s="475" t="e">
        <v>#DIV/0!</v>
      </c>
      <c r="K102" s="475"/>
      <c r="L102" s="475"/>
      <c r="M102" s="475" t="e">
        <v>#DIV/0!</v>
      </c>
      <c r="N102" s="475">
        <v>1</v>
      </c>
      <c r="O102" s="475">
        <v>0</v>
      </c>
      <c r="P102" s="475">
        <v>0</v>
      </c>
      <c r="Q102" s="475">
        <v>0</v>
      </c>
      <c r="R102" s="475"/>
      <c r="S102" s="475" t="e">
        <v>#DIV/0!</v>
      </c>
      <c r="T102" s="475"/>
      <c r="U102" s="475"/>
      <c r="V102" s="475" t="e">
        <v>#DIV/0!</v>
      </c>
      <c r="W102" s="475">
        <v>2</v>
      </c>
      <c r="X102" s="475"/>
      <c r="Y102" s="475" t="e">
        <v>#DIV/0!</v>
      </c>
    </row>
    <row r="103" spans="1:25" ht="19.5" customHeight="1" x14ac:dyDescent="0.35">
      <c r="A103" s="75"/>
      <c r="B103" s="40" t="s">
        <v>57</v>
      </c>
      <c r="C103" s="43"/>
      <c r="D103" s="473" t="s">
        <v>135</v>
      </c>
      <c r="E103" s="474"/>
      <c r="F103" s="475"/>
      <c r="G103" s="475" t="e">
        <v>#DIV/0!</v>
      </c>
      <c r="H103" s="475"/>
      <c r="I103" s="475"/>
      <c r="J103" s="475" t="e">
        <v>#DIV/0!</v>
      </c>
      <c r="K103" s="475"/>
      <c r="L103" s="475"/>
      <c r="M103" s="475" t="e">
        <v>#DIV/0!</v>
      </c>
      <c r="N103" s="475">
        <v>1</v>
      </c>
      <c r="O103" s="475">
        <v>0</v>
      </c>
      <c r="P103" s="475">
        <v>0</v>
      </c>
      <c r="Q103" s="475">
        <v>0</v>
      </c>
      <c r="R103" s="475"/>
      <c r="S103" s="475" t="e">
        <v>#DIV/0!</v>
      </c>
      <c r="T103" s="475"/>
      <c r="U103" s="475"/>
      <c r="V103" s="475" t="e">
        <v>#DIV/0!</v>
      </c>
      <c r="W103" s="475">
        <f t="shared" ref="W103" si="53">W134</f>
        <v>5</v>
      </c>
      <c r="X103" s="475"/>
      <c r="Y103" s="475" t="e">
        <v>#DIV/0!</v>
      </c>
    </row>
    <row r="104" spans="1:25" ht="19.5" customHeight="1" x14ac:dyDescent="0.35">
      <c r="A104" s="75"/>
      <c r="B104" s="40" t="s">
        <v>103</v>
      </c>
      <c r="C104" s="43"/>
      <c r="D104" s="473" t="s">
        <v>136</v>
      </c>
      <c r="E104" s="474"/>
      <c r="F104" s="475"/>
      <c r="G104" s="475" t="e">
        <v>#DIV/0!</v>
      </c>
      <c r="H104" s="475"/>
      <c r="I104" s="475"/>
      <c r="J104" s="475" t="e">
        <v>#DIV/0!</v>
      </c>
      <c r="K104" s="475"/>
      <c r="L104" s="475"/>
      <c r="M104" s="475" t="e">
        <v>#DIV/0!</v>
      </c>
      <c r="N104" s="475">
        <v>0</v>
      </c>
      <c r="O104" s="475">
        <v>0</v>
      </c>
      <c r="P104" s="475" t="e">
        <v>#DIV/0!</v>
      </c>
      <c r="Q104" s="475">
        <v>0</v>
      </c>
      <c r="R104" s="475"/>
      <c r="S104" s="475" t="e">
        <v>#DIV/0!</v>
      </c>
      <c r="T104" s="475"/>
      <c r="U104" s="475"/>
      <c r="V104" s="475" t="e">
        <v>#DIV/0!</v>
      </c>
      <c r="W104" s="475">
        <f t="shared" ref="W104" si="54">W142</f>
        <v>12</v>
      </c>
      <c r="X104" s="475"/>
      <c r="Y104" s="475" t="e">
        <v>#DIV/0!</v>
      </c>
    </row>
    <row r="105" spans="1:25" ht="19.5" customHeight="1" x14ac:dyDescent="0.35">
      <c r="A105" s="89"/>
      <c r="B105" s="90"/>
      <c r="C105" s="91"/>
      <c r="D105" s="326"/>
      <c r="E105" s="90">
        <f>SUM(E96:E104)</f>
        <v>0</v>
      </c>
      <c r="F105" s="90">
        <f>SUM(F96:F104)</f>
        <v>0</v>
      </c>
      <c r="G105" s="90" t="e">
        <f>F105/E105*100</f>
        <v>#DIV/0!</v>
      </c>
      <c r="H105" s="141">
        <f>SUM(H96:H104)</f>
        <v>0</v>
      </c>
      <c r="I105" s="141">
        <f>SUM(I96:I104)</f>
        <v>0</v>
      </c>
      <c r="J105" s="141" t="e">
        <f>I105/H105*100</f>
        <v>#DIV/0!</v>
      </c>
      <c r="K105" s="141">
        <f>SUM(K96:K104)</f>
        <v>0</v>
      </c>
      <c r="L105" s="141">
        <f>SUM(L96:L104)</f>
        <v>0</v>
      </c>
      <c r="M105" s="141" t="e">
        <f>L105/K105*100</f>
        <v>#DIV/0!</v>
      </c>
      <c r="N105" s="141">
        <f>SUM(N96:N104)</f>
        <v>13</v>
      </c>
      <c r="O105" s="141">
        <f>SUM(O96:O104)</f>
        <v>8</v>
      </c>
      <c r="P105" s="90">
        <f>O105/N105*100</f>
        <v>61.53846153846154</v>
      </c>
      <c r="Q105" s="141">
        <f>SUM(Q96:Q104)</f>
        <v>10</v>
      </c>
      <c r="R105" s="141">
        <f>SUM(R96:R104)</f>
        <v>5</v>
      </c>
      <c r="S105" s="141">
        <f>R105/Q105*100</f>
        <v>50</v>
      </c>
      <c r="T105" s="141">
        <f>SUM(T96:T104)</f>
        <v>0</v>
      </c>
      <c r="U105" s="141">
        <f>SUM(U96:U104)</f>
        <v>0</v>
      </c>
      <c r="V105" s="90" t="e">
        <f>U105/T105*100</f>
        <v>#DIV/0!</v>
      </c>
      <c r="W105" s="90">
        <f>SUM(W96:W104)</f>
        <v>28</v>
      </c>
      <c r="X105" s="90">
        <f>SUM(X96:X104)</f>
        <v>0</v>
      </c>
      <c r="Y105" s="90">
        <f>X105/W105*100</f>
        <v>0</v>
      </c>
    </row>
    <row r="106" spans="1:25" ht="19.5" customHeight="1" x14ac:dyDescent="0.35">
      <c r="A106" s="77">
        <v>9</v>
      </c>
      <c r="B106" s="70">
        <v>1</v>
      </c>
      <c r="C106" s="329" t="s">
        <v>137</v>
      </c>
      <c r="D106" s="332" t="s">
        <v>138</v>
      </c>
      <c r="E106" s="331"/>
      <c r="F106" s="40"/>
      <c r="G106" s="40" t="e">
        <f>F106/E106*100</f>
        <v>#DIV/0!</v>
      </c>
      <c r="H106" s="45">
        <v>0</v>
      </c>
      <c r="I106" s="45">
        <v>0</v>
      </c>
      <c r="J106" s="45" t="e">
        <f>I106/H106*100</f>
        <v>#DIV/0!</v>
      </c>
      <c r="K106" s="45">
        <v>0</v>
      </c>
      <c r="L106" s="45">
        <v>0</v>
      </c>
      <c r="M106" s="45" t="e">
        <f>SUM(L106/K106*100)</f>
        <v>#DIV/0!</v>
      </c>
      <c r="N106" s="328">
        <v>3</v>
      </c>
      <c r="O106" s="40"/>
      <c r="P106" s="40">
        <f>O106/N106*100</f>
        <v>0</v>
      </c>
      <c r="Q106" s="45">
        <v>0</v>
      </c>
      <c r="R106" s="45">
        <v>0</v>
      </c>
      <c r="S106" s="45" t="e">
        <f>R106/Q106*100</f>
        <v>#DIV/0!</v>
      </c>
      <c r="T106" s="40"/>
      <c r="U106" s="40"/>
      <c r="V106" s="40" t="e">
        <f>U106/T106*100</f>
        <v>#DIV/0!</v>
      </c>
      <c r="W106" s="402">
        <v>18</v>
      </c>
      <c r="X106" s="40"/>
      <c r="Y106" s="40">
        <f>X106/W106*100</f>
        <v>0</v>
      </c>
    </row>
    <row r="107" spans="1:25" ht="19.5" customHeight="1" x14ac:dyDescent="0.35">
      <c r="A107" s="75"/>
      <c r="B107" s="71" t="s">
        <v>41</v>
      </c>
      <c r="C107" s="288"/>
      <c r="D107" s="333" t="s">
        <v>139</v>
      </c>
      <c r="E107" s="331"/>
      <c r="F107" s="40"/>
      <c r="G107" s="40" t="e">
        <f t="shared" ref="G107:G118" si="55">F107/E107*100</f>
        <v>#DIV/0!</v>
      </c>
      <c r="H107" s="45">
        <v>0</v>
      </c>
      <c r="I107" s="45">
        <v>0</v>
      </c>
      <c r="J107" s="45" t="e">
        <f t="shared" ref="J107:J118" si="56">I107/H107*100</f>
        <v>#DIV/0!</v>
      </c>
      <c r="K107" s="45">
        <v>0</v>
      </c>
      <c r="L107" s="45">
        <v>0</v>
      </c>
      <c r="M107" s="45" t="e">
        <f t="shared" ref="M107:M118" si="57">SUM(L107/K107*100)</f>
        <v>#DIV/0!</v>
      </c>
      <c r="N107" s="313">
        <v>1</v>
      </c>
      <c r="O107" s="40"/>
      <c r="P107" s="40">
        <f t="shared" ref="P107:P118" si="58">O107/N107*100</f>
        <v>0</v>
      </c>
      <c r="Q107" s="45">
        <v>0</v>
      </c>
      <c r="R107" s="45">
        <v>0</v>
      </c>
      <c r="S107" s="45" t="e">
        <f t="shared" ref="S107:S118" si="59">R107/Q107*100</f>
        <v>#DIV/0!</v>
      </c>
      <c r="T107" s="40"/>
      <c r="U107" s="40"/>
      <c r="V107" s="40" t="e">
        <f t="shared" ref="V107:V118" si="60">U107/T107*100</f>
        <v>#DIV/0!</v>
      </c>
      <c r="W107" s="403">
        <v>6</v>
      </c>
      <c r="X107" s="45"/>
      <c r="Y107" s="40">
        <f t="shared" ref="Y107:Y118" si="61">X107/W107*100</f>
        <v>0</v>
      </c>
    </row>
    <row r="108" spans="1:25" ht="19.5" customHeight="1" x14ac:dyDescent="0.35">
      <c r="A108" s="75"/>
      <c r="B108" s="71" t="s">
        <v>42</v>
      </c>
      <c r="C108" s="288"/>
      <c r="D108" s="333" t="s">
        <v>140</v>
      </c>
      <c r="E108" s="46"/>
      <c r="F108" s="45"/>
      <c r="G108" s="45">
        <v>0</v>
      </c>
      <c r="H108" s="45">
        <v>0</v>
      </c>
      <c r="I108" s="45">
        <v>0</v>
      </c>
      <c r="J108" s="45" t="e">
        <f t="shared" si="56"/>
        <v>#DIV/0!</v>
      </c>
      <c r="K108" s="45">
        <v>0</v>
      </c>
      <c r="L108" s="45">
        <v>0</v>
      </c>
      <c r="M108" s="45" t="e">
        <f t="shared" si="57"/>
        <v>#DIV/0!</v>
      </c>
      <c r="N108" s="314"/>
      <c r="O108" s="40"/>
      <c r="P108" s="40" t="e">
        <f t="shared" si="58"/>
        <v>#DIV/0!</v>
      </c>
      <c r="Q108" s="45">
        <v>0</v>
      </c>
      <c r="R108" s="45">
        <v>0</v>
      </c>
      <c r="S108" s="45" t="e">
        <f t="shared" si="59"/>
        <v>#DIV/0!</v>
      </c>
      <c r="T108" s="40"/>
      <c r="U108" s="40"/>
      <c r="V108" s="40" t="e">
        <f t="shared" si="60"/>
        <v>#DIV/0!</v>
      </c>
      <c r="W108" s="402">
        <v>3</v>
      </c>
      <c r="X108" s="40"/>
      <c r="Y108" s="40">
        <f t="shared" si="61"/>
        <v>0</v>
      </c>
    </row>
    <row r="109" spans="1:25" ht="19.5" customHeight="1" x14ac:dyDescent="0.35">
      <c r="A109" s="75"/>
      <c r="B109" s="71">
        <v>4</v>
      </c>
      <c r="C109" s="288"/>
      <c r="D109" s="333" t="s">
        <v>141</v>
      </c>
      <c r="E109" s="331"/>
      <c r="F109" s="41"/>
      <c r="G109" s="40" t="e">
        <f t="shared" si="55"/>
        <v>#DIV/0!</v>
      </c>
      <c r="H109" s="45">
        <v>0</v>
      </c>
      <c r="I109" s="45">
        <v>0</v>
      </c>
      <c r="J109" s="45" t="e">
        <f t="shared" si="56"/>
        <v>#DIV/0!</v>
      </c>
      <c r="K109" s="45">
        <v>0</v>
      </c>
      <c r="L109" s="45">
        <v>0</v>
      </c>
      <c r="M109" s="45" t="e">
        <f t="shared" si="57"/>
        <v>#DIV/0!</v>
      </c>
      <c r="N109" s="315"/>
      <c r="O109" s="40"/>
      <c r="P109" s="40" t="e">
        <f t="shared" si="58"/>
        <v>#DIV/0!</v>
      </c>
      <c r="Q109" s="45">
        <v>0</v>
      </c>
      <c r="R109" s="45">
        <v>0</v>
      </c>
      <c r="S109" s="45" t="e">
        <f t="shared" si="59"/>
        <v>#DIV/0!</v>
      </c>
      <c r="T109" s="40"/>
      <c r="U109" s="40"/>
      <c r="V109" s="40" t="e">
        <f t="shared" si="60"/>
        <v>#DIV/0!</v>
      </c>
      <c r="W109" s="402">
        <v>7</v>
      </c>
      <c r="X109" s="40"/>
      <c r="Y109" s="40">
        <f t="shared" si="61"/>
        <v>0</v>
      </c>
    </row>
    <row r="110" spans="1:25" ht="19.5" customHeight="1" x14ac:dyDescent="0.35">
      <c r="A110" s="75"/>
      <c r="B110" s="71">
        <v>5</v>
      </c>
      <c r="C110" s="288"/>
      <c r="D110" s="333" t="s">
        <v>142</v>
      </c>
      <c r="E110" s="331"/>
      <c r="F110" s="41"/>
      <c r="G110" s="40" t="e">
        <f t="shared" si="55"/>
        <v>#DIV/0!</v>
      </c>
      <c r="H110" s="45">
        <v>0</v>
      </c>
      <c r="I110" s="45">
        <v>0</v>
      </c>
      <c r="J110" s="45" t="e">
        <f t="shared" si="56"/>
        <v>#DIV/0!</v>
      </c>
      <c r="K110" s="45">
        <v>0</v>
      </c>
      <c r="L110" s="45">
        <v>0</v>
      </c>
      <c r="M110" s="45" t="e">
        <f t="shared" si="57"/>
        <v>#DIV/0!</v>
      </c>
      <c r="N110" s="313">
        <v>1</v>
      </c>
      <c r="O110" s="40"/>
      <c r="P110" s="40">
        <f t="shared" si="58"/>
        <v>0</v>
      </c>
      <c r="Q110" s="45">
        <v>0</v>
      </c>
      <c r="R110" s="45">
        <v>0</v>
      </c>
      <c r="S110" s="45" t="e">
        <f t="shared" si="59"/>
        <v>#DIV/0!</v>
      </c>
      <c r="T110" s="40"/>
      <c r="U110" s="40"/>
      <c r="V110" s="40" t="e">
        <f t="shared" si="60"/>
        <v>#DIV/0!</v>
      </c>
      <c r="W110" s="402">
        <v>2</v>
      </c>
      <c r="X110" s="40"/>
      <c r="Y110" s="40">
        <f t="shared" si="61"/>
        <v>0</v>
      </c>
    </row>
    <row r="111" spans="1:25" ht="19.5" customHeight="1" x14ac:dyDescent="0.35">
      <c r="A111" s="75"/>
      <c r="B111" s="71">
        <v>6</v>
      </c>
      <c r="C111" s="288"/>
      <c r="D111" s="333" t="s">
        <v>143</v>
      </c>
      <c r="E111" s="46"/>
      <c r="F111" s="45"/>
      <c r="G111" s="45">
        <v>0</v>
      </c>
      <c r="H111" s="45">
        <v>0</v>
      </c>
      <c r="I111" s="45">
        <v>0</v>
      </c>
      <c r="J111" s="45" t="e">
        <f t="shared" si="56"/>
        <v>#DIV/0!</v>
      </c>
      <c r="K111" s="45">
        <v>0</v>
      </c>
      <c r="L111" s="45">
        <v>0</v>
      </c>
      <c r="M111" s="45" t="e">
        <f t="shared" si="57"/>
        <v>#DIV/0!</v>
      </c>
      <c r="N111" s="314">
        <v>2</v>
      </c>
      <c r="O111" s="40"/>
      <c r="P111" s="40">
        <f t="shared" si="58"/>
        <v>0</v>
      </c>
      <c r="Q111" s="45">
        <v>0</v>
      </c>
      <c r="R111" s="45">
        <v>0</v>
      </c>
      <c r="S111" s="45" t="e">
        <f t="shared" si="59"/>
        <v>#DIV/0!</v>
      </c>
      <c r="T111" s="40"/>
      <c r="U111" s="40"/>
      <c r="V111" s="40" t="e">
        <f t="shared" si="60"/>
        <v>#DIV/0!</v>
      </c>
      <c r="W111" s="402">
        <v>5</v>
      </c>
      <c r="X111" s="40"/>
      <c r="Y111" s="40">
        <f t="shared" si="61"/>
        <v>0</v>
      </c>
    </row>
    <row r="112" spans="1:25" ht="19.5" customHeight="1" x14ac:dyDescent="0.35">
      <c r="A112" s="75"/>
      <c r="B112" s="71" t="s">
        <v>43</v>
      </c>
      <c r="C112" s="288"/>
      <c r="D112" s="333" t="s">
        <v>144</v>
      </c>
      <c r="E112" s="331"/>
      <c r="F112" s="40"/>
      <c r="G112" s="40" t="e">
        <f t="shared" si="55"/>
        <v>#DIV/0!</v>
      </c>
      <c r="H112" s="45">
        <v>0</v>
      </c>
      <c r="I112" s="45">
        <v>0</v>
      </c>
      <c r="J112" s="45" t="e">
        <f t="shared" si="56"/>
        <v>#DIV/0!</v>
      </c>
      <c r="K112" s="45">
        <v>0</v>
      </c>
      <c r="L112" s="45">
        <v>0</v>
      </c>
      <c r="M112" s="45" t="e">
        <f t="shared" si="57"/>
        <v>#DIV/0!</v>
      </c>
      <c r="N112" s="401">
        <v>1</v>
      </c>
      <c r="O112" s="45"/>
      <c r="P112" s="40">
        <f t="shared" si="58"/>
        <v>0</v>
      </c>
      <c r="Q112" s="45">
        <v>0</v>
      </c>
      <c r="R112" s="45">
        <v>0</v>
      </c>
      <c r="S112" s="45" t="e">
        <f t="shared" si="59"/>
        <v>#DIV/0!</v>
      </c>
      <c r="T112" s="45"/>
      <c r="U112" s="45"/>
      <c r="V112" s="40" t="e">
        <f t="shared" si="60"/>
        <v>#DIV/0!</v>
      </c>
      <c r="W112" s="402">
        <v>10</v>
      </c>
      <c r="X112" s="40"/>
      <c r="Y112" s="40">
        <f t="shared" si="61"/>
        <v>0</v>
      </c>
    </row>
    <row r="113" spans="1:25" ht="19.5" customHeight="1" x14ac:dyDescent="0.35">
      <c r="A113" s="75"/>
      <c r="B113" s="71" t="s">
        <v>57</v>
      </c>
      <c r="C113" s="288"/>
      <c r="D113" s="333" t="s">
        <v>145</v>
      </c>
      <c r="E113" s="331"/>
      <c r="F113" s="40"/>
      <c r="G113" s="40" t="e">
        <f t="shared" si="55"/>
        <v>#DIV/0!</v>
      </c>
      <c r="H113" s="45"/>
      <c r="I113" s="45"/>
      <c r="J113" s="45" t="e">
        <f t="shared" si="56"/>
        <v>#DIV/0!</v>
      </c>
      <c r="K113" s="45"/>
      <c r="L113" s="45"/>
      <c r="M113" s="45" t="e">
        <f t="shared" si="57"/>
        <v>#DIV/0!</v>
      </c>
      <c r="N113" s="401"/>
      <c r="O113" s="45"/>
      <c r="P113" s="40" t="e">
        <f t="shared" si="58"/>
        <v>#DIV/0!</v>
      </c>
      <c r="Q113" s="45"/>
      <c r="R113" s="45"/>
      <c r="S113" s="45" t="e">
        <f t="shared" si="59"/>
        <v>#DIV/0!</v>
      </c>
      <c r="T113" s="45"/>
      <c r="U113" s="45"/>
      <c r="V113" s="40" t="e">
        <f t="shared" si="60"/>
        <v>#DIV/0!</v>
      </c>
      <c r="W113" s="402">
        <v>2</v>
      </c>
      <c r="X113" s="40"/>
      <c r="Y113" s="40">
        <f t="shared" si="61"/>
        <v>0</v>
      </c>
    </row>
    <row r="114" spans="1:25" ht="19.5" customHeight="1" x14ac:dyDescent="0.35">
      <c r="A114" s="75"/>
      <c r="B114" s="71" t="s">
        <v>103</v>
      </c>
      <c r="C114" s="288"/>
      <c r="D114" s="333" t="s">
        <v>146</v>
      </c>
      <c r="E114" s="331"/>
      <c r="F114" s="40"/>
      <c r="G114" s="40" t="e">
        <f t="shared" si="55"/>
        <v>#DIV/0!</v>
      </c>
      <c r="H114" s="45"/>
      <c r="I114" s="45"/>
      <c r="J114" s="45" t="e">
        <f t="shared" si="56"/>
        <v>#DIV/0!</v>
      </c>
      <c r="K114" s="45"/>
      <c r="L114" s="45"/>
      <c r="M114" s="45" t="e">
        <f t="shared" si="57"/>
        <v>#DIV/0!</v>
      </c>
      <c r="N114" s="401"/>
      <c r="O114" s="45"/>
      <c r="P114" s="40" t="e">
        <f t="shared" si="58"/>
        <v>#DIV/0!</v>
      </c>
      <c r="Q114" s="45"/>
      <c r="R114" s="45"/>
      <c r="S114" s="45" t="e">
        <f t="shared" si="59"/>
        <v>#DIV/0!</v>
      </c>
      <c r="T114" s="45"/>
      <c r="U114" s="45"/>
      <c r="V114" s="40" t="e">
        <f t="shared" si="60"/>
        <v>#DIV/0!</v>
      </c>
      <c r="W114" s="402">
        <v>7</v>
      </c>
      <c r="X114" s="40"/>
      <c r="Y114" s="40">
        <f t="shared" si="61"/>
        <v>0</v>
      </c>
    </row>
    <row r="115" spans="1:25" ht="19.5" customHeight="1" x14ac:dyDescent="0.35">
      <c r="A115" s="75"/>
      <c r="B115" s="71" t="s">
        <v>104</v>
      </c>
      <c r="C115" s="288"/>
      <c r="D115" s="333" t="s">
        <v>147</v>
      </c>
      <c r="E115" s="331"/>
      <c r="F115" s="40"/>
      <c r="G115" s="40" t="e">
        <f t="shared" si="55"/>
        <v>#DIV/0!</v>
      </c>
      <c r="H115" s="45"/>
      <c r="I115" s="45"/>
      <c r="J115" s="45" t="e">
        <f t="shared" si="56"/>
        <v>#DIV/0!</v>
      </c>
      <c r="K115" s="45"/>
      <c r="L115" s="45"/>
      <c r="M115" s="45" t="e">
        <f t="shared" si="57"/>
        <v>#DIV/0!</v>
      </c>
      <c r="N115" s="401">
        <v>1</v>
      </c>
      <c r="O115" s="45"/>
      <c r="P115" s="40">
        <f t="shared" si="58"/>
        <v>0</v>
      </c>
      <c r="Q115" s="45"/>
      <c r="R115" s="45"/>
      <c r="S115" s="45" t="e">
        <f t="shared" si="59"/>
        <v>#DIV/0!</v>
      </c>
      <c r="T115" s="45"/>
      <c r="U115" s="45"/>
      <c r="V115" s="40" t="e">
        <f t="shared" si="60"/>
        <v>#DIV/0!</v>
      </c>
      <c r="W115" s="402">
        <v>2</v>
      </c>
      <c r="X115" s="40"/>
      <c r="Y115" s="40">
        <f t="shared" si="61"/>
        <v>0</v>
      </c>
    </row>
    <row r="116" spans="1:25" ht="19.5" customHeight="1" x14ac:dyDescent="0.35">
      <c r="A116" s="75"/>
      <c r="B116" s="71" t="s">
        <v>105</v>
      </c>
      <c r="C116" s="288"/>
      <c r="D116" s="333" t="s">
        <v>148</v>
      </c>
      <c r="E116" s="331"/>
      <c r="F116" s="40"/>
      <c r="G116" s="40" t="e">
        <f t="shared" si="55"/>
        <v>#DIV/0!</v>
      </c>
      <c r="H116" s="45"/>
      <c r="I116" s="45"/>
      <c r="J116" s="45" t="e">
        <f t="shared" si="56"/>
        <v>#DIV/0!</v>
      </c>
      <c r="K116" s="45"/>
      <c r="L116" s="45"/>
      <c r="M116" s="45" t="e">
        <f t="shared" si="57"/>
        <v>#DIV/0!</v>
      </c>
      <c r="N116" s="401">
        <v>2</v>
      </c>
      <c r="O116" s="45"/>
      <c r="P116" s="40">
        <f t="shared" si="58"/>
        <v>0</v>
      </c>
      <c r="Q116" s="45"/>
      <c r="R116" s="45"/>
      <c r="S116" s="45" t="e">
        <f t="shared" si="59"/>
        <v>#DIV/0!</v>
      </c>
      <c r="T116" s="45"/>
      <c r="U116" s="45"/>
      <c r="V116" s="40" t="e">
        <f t="shared" si="60"/>
        <v>#DIV/0!</v>
      </c>
      <c r="W116" s="402">
        <v>11</v>
      </c>
      <c r="X116" s="40"/>
      <c r="Y116" s="40">
        <f t="shared" si="61"/>
        <v>0</v>
      </c>
    </row>
    <row r="117" spans="1:25" ht="19.5" customHeight="1" x14ac:dyDescent="0.35">
      <c r="A117" s="75"/>
      <c r="B117" s="71" t="s">
        <v>119</v>
      </c>
      <c r="C117" s="288"/>
      <c r="D117" s="333" t="s">
        <v>149</v>
      </c>
      <c r="E117" s="331"/>
      <c r="F117" s="40"/>
      <c r="G117" s="40" t="e">
        <f t="shared" si="55"/>
        <v>#DIV/0!</v>
      </c>
      <c r="H117" s="45"/>
      <c r="I117" s="45"/>
      <c r="J117" s="45" t="e">
        <f t="shared" si="56"/>
        <v>#DIV/0!</v>
      </c>
      <c r="K117" s="45"/>
      <c r="L117" s="45"/>
      <c r="M117" s="45" t="e">
        <f t="shared" si="57"/>
        <v>#DIV/0!</v>
      </c>
      <c r="N117" s="401">
        <v>1</v>
      </c>
      <c r="O117" s="45"/>
      <c r="P117" s="40">
        <f t="shared" si="58"/>
        <v>0</v>
      </c>
      <c r="Q117" s="45"/>
      <c r="R117" s="45"/>
      <c r="S117" s="45" t="e">
        <f t="shared" si="59"/>
        <v>#DIV/0!</v>
      </c>
      <c r="T117" s="45"/>
      <c r="U117" s="45"/>
      <c r="V117" s="40" t="e">
        <f t="shared" si="60"/>
        <v>#DIV/0!</v>
      </c>
      <c r="W117" s="402">
        <v>5</v>
      </c>
      <c r="X117" s="40"/>
      <c r="Y117" s="40">
        <f t="shared" si="61"/>
        <v>0</v>
      </c>
    </row>
    <row r="118" spans="1:25" ht="19.5" customHeight="1" x14ac:dyDescent="0.35">
      <c r="A118" s="76"/>
      <c r="B118" s="72" t="s">
        <v>151</v>
      </c>
      <c r="C118" s="330"/>
      <c r="D118" s="334" t="s">
        <v>150</v>
      </c>
      <c r="E118" s="331"/>
      <c r="F118" s="40"/>
      <c r="G118" s="40" t="e">
        <f t="shared" si="55"/>
        <v>#DIV/0!</v>
      </c>
      <c r="H118" s="45"/>
      <c r="I118" s="45"/>
      <c r="J118" s="45" t="e">
        <f t="shared" si="56"/>
        <v>#DIV/0!</v>
      </c>
      <c r="K118" s="45"/>
      <c r="L118" s="45"/>
      <c r="M118" s="45" t="e">
        <f t="shared" si="57"/>
        <v>#DIV/0!</v>
      </c>
      <c r="N118" s="401">
        <v>1</v>
      </c>
      <c r="O118" s="45"/>
      <c r="P118" s="40">
        <f t="shared" si="58"/>
        <v>0</v>
      </c>
      <c r="Q118" s="45"/>
      <c r="R118" s="45"/>
      <c r="S118" s="45" t="e">
        <f t="shared" si="59"/>
        <v>#DIV/0!</v>
      </c>
      <c r="T118" s="45"/>
      <c r="U118" s="45"/>
      <c r="V118" s="40" t="e">
        <f t="shared" si="60"/>
        <v>#DIV/0!</v>
      </c>
      <c r="W118" s="402">
        <v>6</v>
      </c>
      <c r="X118" s="40"/>
      <c r="Y118" s="40">
        <f t="shared" si="61"/>
        <v>0</v>
      </c>
    </row>
    <row r="119" spans="1:25" ht="19.5" customHeight="1" x14ac:dyDescent="0.35">
      <c r="A119" s="89"/>
      <c r="B119" s="103"/>
      <c r="C119" s="104"/>
      <c r="D119" s="327"/>
      <c r="E119" s="91">
        <f>SUM(E106:E118)</f>
        <v>0</v>
      </c>
      <c r="F119" s="91">
        <f t="shared" ref="F119:X119" si="62">SUM(F106:F118)</f>
        <v>0</v>
      </c>
      <c r="G119" s="91" t="e">
        <f>F119/E119*100</f>
        <v>#DIV/0!</v>
      </c>
      <c r="H119" s="91">
        <f t="shared" si="62"/>
        <v>0</v>
      </c>
      <c r="I119" s="91">
        <f t="shared" si="62"/>
        <v>0</v>
      </c>
      <c r="J119" s="91" t="e">
        <f>I119/H119*100</f>
        <v>#DIV/0!</v>
      </c>
      <c r="K119" s="91">
        <f t="shared" si="62"/>
        <v>0</v>
      </c>
      <c r="L119" s="91">
        <f t="shared" si="62"/>
        <v>0</v>
      </c>
      <c r="M119" s="91" t="e">
        <f>L119/K119*100</f>
        <v>#DIV/0!</v>
      </c>
      <c r="N119" s="91">
        <f t="shared" si="62"/>
        <v>13</v>
      </c>
      <c r="O119" s="91">
        <f t="shared" si="62"/>
        <v>0</v>
      </c>
      <c r="P119" s="91">
        <f>O119/N119*100</f>
        <v>0</v>
      </c>
      <c r="Q119" s="91">
        <f t="shared" si="62"/>
        <v>0</v>
      </c>
      <c r="R119" s="91">
        <f t="shared" si="62"/>
        <v>0</v>
      </c>
      <c r="S119" s="91" t="e">
        <f>R119/Q119*100</f>
        <v>#DIV/0!</v>
      </c>
      <c r="T119" s="91">
        <f t="shared" si="62"/>
        <v>0</v>
      </c>
      <c r="U119" s="91">
        <f t="shared" si="62"/>
        <v>0</v>
      </c>
      <c r="V119" s="91" t="e">
        <f>U119/T119*100</f>
        <v>#DIV/0!</v>
      </c>
      <c r="W119" s="404">
        <f t="shared" si="62"/>
        <v>84</v>
      </c>
      <c r="X119" s="91">
        <f t="shared" si="62"/>
        <v>0</v>
      </c>
      <c r="Y119" s="91">
        <f>X119/W119*100</f>
        <v>0</v>
      </c>
    </row>
    <row r="120" spans="1:25" ht="19.5" customHeight="1" x14ac:dyDescent="0.35">
      <c r="A120" s="75">
        <v>10</v>
      </c>
      <c r="B120" s="71"/>
      <c r="C120" s="67" t="s">
        <v>152</v>
      </c>
      <c r="D120" s="335" t="s">
        <v>180</v>
      </c>
      <c r="E120" s="471">
        <v>0</v>
      </c>
      <c r="F120" s="471">
        <v>0</v>
      </c>
      <c r="G120" s="471" t="e">
        <v>#DIV/0!</v>
      </c>
      <c r="H120" s="471">
        <v>0</v>
      </c>
      <c r="I120" s="471">
        <v>0</v>
      </c>
      <c r="J120" s="471" t="e">
        <v>#DIV/0!</v>
      </c>
      <c r="K120" s="471">
        <v>0</v>
      </c>
      <c r="L120" s="471">
        <v>0</v>
      </c>
      <c r="M120" s="471" t="e">
        <v>#DIV/0!</v>
      </c>
      <c r="N120" s="471">
        <v>0</v>
      </c>
      <c r="O120" s="471">
        <v>0</v>
      </c>
      <c r="P120" s="471" t="e">
        <v>#DIV/0!</v>
      </c>
      <c r="Q120" s="471">
        <v>0</v>
      </c>
      <c r="R120" s="471">
        <v>0</v>
      </c>
      <c r="S120" s="471" t="e">
        <v>#DIV/0!</v>
      </c>
      <c r="T120" s="471">
        <v>0</v>
      </c>
      <c r="U120" s="471">
        <v>0</v>
      </c>
      <c r="V120" s="471" t="e">
        <v>#DIV/0!</v>
      </c>
      <c r="W120" s="475">
        <v>1</v>
      </c>
      <c r="X120" s="475">
        <v>0</v>
      </c>
      <c r="Y120" s="471">
        <f>X120/W120*100</f>
        <v>0</v>
      </c>
    </row>
    <row r="121" spans="1:25" ht="19.5" customHeight="1" x14ac:dyDescent="0.35">
      <c r="A121" s="75"/>
      <c r="B121" s="71"/>
      <c r="C121" s="67"/>
      <c r="D121" s="335" t="s">
        <v>181</v>
      </c>
      <c r="E121" s="471">
        <v>0</v>
      </c>
      <c r="F121" s="471">
        <v>0</v>
      </c>
      <c r="G121" s="471" t="e">
        <v>#DIV/0!</v>
      </c>
      <c r="H121" s="471">
        <v>0</v>
      </c>
      <c r="I121" s="471">
        <v>0</v>
      </c>
      <c r="J121" s="471" t="e">
        <v>#DIV/0!</v>
      </c>
      <c r="K121" s="471">
        <v>0</v>
      </c>
      <c r="L121" s="471">
        <v>0</v>
      </c>
      <c r="M121" s="471" t="e">
        <v>#DIV/0!</v>
      </c>
      <c r="N121" s="471">
        <v>0</v>
      </c>
      <c r="O121" s="471">
        <v>0</v>
      </c>
      <c r="P121" s="471" t="e">
        <v>#DIV/0!</v>
      </c>
      <c r="Q121" s="471">
        <v>0</v>
      </c>
      <c r="R121" s="471">
        <v>0</v>
      </c>
      <c r="S121" s="471" t="e">
        <v>#DIV/0!</v>
      </c>
      <c r="T121" s="471">
        <v>0</v>
      </c>
      <c r="U121" s="471">
        <v>0</v>
      </c>
      <c r="V121" s="471" t="e">
        <v>#DIV/0!</v>
      </c>
      <c r="W121" s="475">
        <v>1</v>
      </c>
      <c r="X121" s="475">
        <v>0</v>
      </c>
      <c r="Y121" s="471">
        <f t="shared" ref="Y121:Y131" si="63">X121/W121*100</f>
        <v>0</v>
      </c>
    </row>
    <row r="122" spans="1:25" ht="19.5" customHeight="1" x14ac:dyDescent="0.35">
      <c r="A122" s="75"/>
      <c r="B122" s="71"/>
      <c r="C122" s="67"/>
      <c r="D122" s="335" t="s">
        <v>182</v>
      </c>
      <c r="E122" s="471">
        <v>0</v>
      </c>
      <c r="F122" s="471">
        <v>0</v>
      </c>
      <c r="G122" s="471" t="e">
        <v>#DIV/0!</v>
      </c>
      <c r="H122" s="471">
        <v>0</v>
      </c>
      <c r="I122" s="471">
        <v>0</v>
      </c>
      <c r="J122" s="471" t="e">
        <v>#DIV/0!</v>
      </c>
      <c r="K122" s="471">
        <v>0</v>
      </c>
      <c r="L122" s="471">
        <v>0</v>
      </c>
      <c r="M122" s="471" t="e">
        <v>#DIV/0!</v>
      </c>
      <c r="N122" s="471">
        <v>1</v>
      </c>
      <c r="O122" s="471">
        <v>1</v>
      </c>
      <c r="P122" s="471">
        <v>100</v>
      </c>
      <c r="Q122" s="471">
        <v>0</v>
      </c>
      <c r="R122" s="471">
        <v>0</v>
      </c>
      <c r="S122" s="471" t="e">
        <v>#DIV/0!</v>
      </c>
      <c r="T122" s="471">
        <v>0</v>
      </c>
      <c r="U122" s="471">
        <v>0</v>
      </c>
      <c r="V122" s="471" t="e">
        <v>#DIV/0!</v>
      </c>
      <c r="W122" s="477">
        <v>1</v>
      </c>
      <c r="X122" s="477">
        <v>1</v>
      </c>
      <c r="Y122" s="471">
        <f t="shared" si="63"/>
        <v>100</v>
      </c>
    </row>
    <row r="123" spans="1:25" ht="19.5" customHeight="1" x14ac:dyDescent="0.35">
      <c r="A123" s="75"/>
      <c r="B123" s="71"/>
      <c r="C123" s="67"/>
      <c r="D123" s="335" t="s">
        <v>183</v>
      </c>
      <c r="E123" s="471">
        <v>0</v>
      </c>
      <c r="F123" s="472">
        <v>0</v>
      </c>
      <c r="G123" s="471" t="e">
        <v>#DIV/0!</v>
      </c>
      <c r="H123" s="471">
        <v>0</v>
      </c>
      <c r="I123" s="471">
        <v>0</v>
      </c>
      <c r="J123" s="471" t="e">
        <v>#DIV/0!</v>
      </c>
      <c r="K123" s="471">
        <v>0</v>
      </c>
      <c r="L123" s="471">
        <v>0</v>
      </c>
      <c r="M123" s="471" t="e">
        <v>#DIV/0!</v>
      </c>
      <c r="N123" s="471">
        <v>0</v>
      </c>
      <c r="O123" s="471">
        <v>0</v>
      </c>
      <c r="P123" s="471" t="e">
        <v>#DIV/0!</v>
      </c>
      <c r="Q123" s="471">
        <v>0</v>
      </c>
      <c r="R123" s="471">
        <v>0</v>
      </c>
      <c r="S123" s="471" t="e">
        <v>#DIV/0!</v>
      </c>
      <c r="T123" s="471">
        <v>0</v>
      </c>
      <c r="U123" s="471">
        <v>0</v>
      </c>
      <c r="V123" s="471" t="e">
        <v>#DIV/0!</v>
      </c>
      <c r="W123" s="475">
        <v>1</v>
      </c>
      <c r="X123" s="475">
        <v>1</v>
      </c>
      <c r="Y123" s="471">
        <f t="shared" si="63"/>
        <v>100</v>
      </c>
    </row>
    <row r="124" spans="1:25" ht="19.5" customHeight="1" x14ac:dyDescent="0.35">
      <c r="A124" s="75"/>
      <c r="B124" s="71"/>
      <c r="C124" s="67"/>
      <c r="D124" s="335" t="s">
        <v>184</v>
      </c>
      <c r="E124" s="471">
        <v>0</v>
      </c>
      <c r="F124" s="472">
        <v>0</v>
      </c>
      <c r="G124" s="471" t="e">
        <v>#DIV/0!</v>
      </c>
      <c r="H124" s="471">
        <v>0</v>
      </c>
      <c r="I124" s="471">
        <v>0</v>
      </c>
      <c r="J124" s="471" t="e">
        <v>#DIV/0!</v>
      </c>
      <c r="K124" s="471">
        <v>0</v>
      </c>
      <c r="L124" s="471">
        <v>0</v>
      </c>
      <c r="M124" s="471" t="e">
        <v>#DIV/0!</v>
      </c>
      <c r="N124" s="475">
        <v>1</v>
      </c>
      <c r="O124" s="471">
        <v>1</v>
      </c>
      <c r="P124" s="471">
        <v>100</v>
      </c>
      <c r="Q124" s="471">
        <v>0</v>
      </c>
      <c r="R124" s="471">
        <v>0</v>
      </c>
      <c r="S124" s="471" t="e">
        <v>#DIV/0!</v>
      </c>
      <c r="T124" s="471">
        <v>0</v>
      </c>
      <c r="U124" s="471">
        <v>0</v>
      </c>
      <c r="V124" s="471" t="e">
        <v>#DIV/0!</v>
      </c>
      <c r="W124" s="475">
        <v>1</v>
      </c>
      <c r="X124" s="475">
        <v>1</v>
      </c>
      <c r="Y124" s="471">
        <f t="shared" si="63"/>
        <v>100</v>
      </c>
    </row>
    <row r="125" spans="1:25" ht="19.5" customHeight="1" x14ac:dyDescent="0.35">
      <c r="A125" s="75"/>
      <c r="B125" s="71"/>
      <c r="C125" s="67"/>
      <c r="D125" s="335" t="s">
        <v>152</v>
      </c>
      <c r="E125" s="471">
        <v>0</v>
      </c>
      <c r="F125" s="472">
        <v>0</v>
      </c>
      <c r="G125" s="471" t="e">
        <v>#DIV/0!</v>
      </c>
      <c r="H125" s="471">
        <v>0</v>
      </c>
      <c r="I125" s="471">
        <v>0</v>
      </c>
      <c r="J125" s="471" t="e">
        <v>#DIV/0!</v>
      </c>
      <c r="K125" s="471">
        <v>0</v>
      </c>
      <c r="L125" s="471">
        <v>0</v>
      </c>
      <c r="M125" s="471" t="e">
        <v>#DIV/0!</v>
      </c>
      <c r="N125" s="477">
        <v>3</v>
      </c>
      <c r="O125" s="471">
        <v>3</v>
      </c>
      <c r="P125" s="471">
        <v>100</v>
      </c>
      <c r="Q125" s="471">
        <v>0</v>
      </c>
      <c r="R125" s="471">
        <v>0</v>
      </c>
      <c r="S125" s="471" t="e">
        <v>#DIV/0!</v>
      </c>
      <c r="T125" s="471">
        <v>0</v>
      </c>
      <c r="U125" s="471">
        <v>0</v>
      </c>
      <c r="V125" s="471" t="e">
        <v>#DIV/0!</v>
      </c>
      <c r="W125" s="477">
        <v>8</v>
      </c>
      <c r="X125" s="477">
        <v>8</v>
      </c>
      <c r="Y125" s="471">
        <f t="shared" si="63"/>
        <v>100</v>
      </c>
    </row>
    <row r="126" spans="1:25" ht="19.5" customHeight="1" x14ac:dyDescent="0.35">
      <c r="A126" s="75"/>
      <c r="B126" s="71"/>
      <c r="C126" s="67"/>
      <c r="D126" s="335" t="s">
        <v>185</v>
      </c>
      <c r="E126" s="471">
        <v>0</v>
      </c>
      <c r="F126" s="471">
        <v>0</v>
      </c>
      <c r="G126" s="471" t="e">
        <v>#DIV/0!</v>
      </c>
      <c r="H126" s="471">
        <v>0</v>
      </c>
      <c r="I126" s="471">
        <v>0</v>
      </c>
      <c r="J126" s="471" t="e">
        <v>#DIV/0!</v>
      </c>
      <c r="K126" s="471">
        <v>0</v>
      </c>
      <c r="L126" s="471">
        <v>0</v>
      </c>
      <c r="M126" s="471" t="e">
        <v>#DIV/0!</v>
      </c>
      <c r="N126" s="475">
        <v>1</v>
      </c>
      <c r="O126" s="471">
        <v>0</v>
      </c>
      <c r="P126" s="471">
        <v>100</v>
      </c>
      <c r="Q126" s="471">
        <v>0</v>
      </c>
      <c r="R126" s="471">
        <v>0</v>
      </c>
      <c r="S126" s="471" t="e">
        <v>#DIV/0!</v>
      </c>
      <c r="T126" s="471">
        <v>0</v>
      </c>
      <c r="U126" s="471">
        <v>0</v>
      </c>
      <c r="V126" s="471" t="e">
        <v>#DIV/0!</v>
      </c>
      <c r="W126" s="475">
        <v>1</v>
      </c>
      <c r="X126" s="475">
        <v>1</v>
      </c>
      <c r="Y126" s="471">
        <f t="shared" si="63"/>
        <v>100</v>
      </c>
    </row>
    <row r="127" spans="1:25" ht="19.5" customHeight="1" x14ac:dyDescent="0.35">
      <c r="A127" s="75"/>
      <c r="B127" s="71"/>
      <c r="C127" s="67"/>
      <c r="D127" s="335" t="s">
        <v>186</v>
      </c>
      <c r="E127" s="471">
        <v>0</v>
      </c>
      <c r="F127" s="471">
        <v>0</v>
      </c>
      <c r="G127" s="471" t="e">
        <v>#DIV/0!</v>
      </c>
      <c r="H127" s="471">
        <v>0</v>
      </c>
      <c r="I127" s="471">
        <v>0</v>
      </c>
      <c r="J127" s="471" t="e">
        <v>#DIV/0!</v>
      </c>
      <c r="K127" s="471">
        <v>0</v>
      </c>
      <c r="L127" s="471">
        <v>0</v>
      </c>
      <c r="M127" s="471" t="e">
        <v>#DIV/0!</v>
      </c>
      <c r="N127" s="475">
        <v>1</v>
      </c>
      <c r="O127" s="471">
        <v>0</v>
      </c>
      <c r="P127" s="471" t="e">
        <v>#DIV/0!</v>
      </c>
      <c r="Q127" s="471">
        <v>0</v>
      </c>
      <c r="R127" s="471">
        <v>0</v>
      </c>
      <c r="S127" s="471" t="e">
        <v>#DIV/0!</v>
      </c>
      <c r="T127" s="471">
        <v>0</v>
      </c>
      <c r="U127" s="471">
        <v>0</v>
      </c>
      <c r="V127" s="471" t="e">
        <v>#DIV/0!</v>
      </c>
      <c r="W127" s="475">
        <v>2</v>
      </c>
      <c r="X127" s="475">
        <v>2</v>
      </c>
      <c r="Y127" s="471">
        <f t="shared" si="63"/>
        <v>100</v>
      </c>
    </row>
    <row r="128" spans="1:25" ht="19.5" customHeight="1" x14ac:dyDescent="0.35">
      <c r="A128" s="75"/>
      <c r="B128" s="71"/>
      <c r="C128" s="67"/>
      <c r="D128" s="335" t="s">
        <v>187</v>
      </c>
      <c r="E128" s="471">
        <v>0</v>
      </c>
      <c r="F128" s="471">
        <v>0</v>
      </c>
      <c r="G128" s="471" t="e">
        <v>#DIV/0!</v>
      </c>
      <c r="H128" s="471">
        <v>0</v>
      </c>
      <c r="I128" s="471">
        <v>0</v>
      </c>
      <c r="J128" s="471" t="e">
        <v>#DIV/0!</v>
      </c>
      <c r="K128" s="471">
        <v>0</v>
      </c>
      <c r="L128" s="471">
        <v>0</v>
      </c>
      <c r="M128" s="471" t="e">
        <v>#DIV/0!</v>
      </c>
      <c r="N128" s="471">
        <v>0</v>
      </c>
      <c r="O128" s="471">
        <v>0</v>
      </c>
      <c r="P128" s="471" t="e">
        <v>#DIV/0!</v>
      </c>
      <c r="Q128" s="471">
        <v>0</v>
      </c>
      <c r="R128" s="471">
        <v>0</v>
      </c>
      <c r="S128" s="471" t="e">
        <v>#DIV/0!</v>
      </c>
      <c r="T128" s="471">
        <v>0</v>
      </c>
      <c r="U128" s="471">
        <v>0</v>
      </c>
      <c r="V128" s="471" t="e">
        <v>#DIV/0!</v>
      </c>
      <c r="W128" s="475">
        <v>0</v>
      </c>
      <c r="X128" s="475">
        <v>0</v>
      </c>
      <c r="Y128" s="471" t="e">
        <f t="shared" si="63"/>
        <v>#DIV/0!</v>
      </c>
    </row>
    <row r="129" spans="1:25" ht="19.5" customHeight="1" x14ac:dyDescent="0.35">
      <c r="A129" s="75"/>
      <c r="B129" s="71"/>
      <c r="C129" s="67"/>
      <c r="D129" s="335" t="s">
        <v>188</v>
      </c>
      <c r="E129" s="471">
        <v>0</v>
      </c>
      <c r="F129" s="472">
        <v>0</v>
      </c>
      <c r="G129" s="471" t="e">
        <v>#DIV/0!</v>
      </c>
      <c r="H129" s="471">
        <v>0</v>
      </c>
      <c r="I129" s="471">
        <v>0</v>
      </c>
      <c r="J129" s="471" t="e">
        <v>#DIV/0!</v>
      </c>
      <c r="K129" s="471">
        <v>0</v>
      </c>
      <c r="L129" s="471">
        <v>0</v>
      </c>
      <c r="M129" s="471" t="e">
        <v>#DIV/0!</v>
      </c>
      <c r="N129" s="471">
        <v>0</v>
      </c>
      <c r="O129" s="471">
        <v>0</v>
      </c>
      <c r="P129" s="471" t="e">
        <v>#DIV/0!</v>
      </c>
      <c r="Q129" s="471">
        <v>0</v>
      </c>
      <c r="R129" s="471">
        <v>0</v>
      </c>
      <c r="S129" s="471" t="e">
        <v>#DIV/0!</v>
      </c>
      <c r="T129" s="471">
        <v>0</v>
      </c>
      <c r="U129" s="471">
        <v>0</v>
      </c>
      <c r="V129" s="471" t="e">
        <v>#DIV/0!</v>
      </c>
      <c r="W129" s="475">
        <v>2</v>
      </c>
      <c r="X129" s="475">
        <v>2</v>
      </c>
      <c r="Y129" s="471">
        <f t="shared" si="63"/>
        <v>100</v>
      </c>
    </row>
    <row r="130" spans="1:25" ht="19.5" customHeight="1" x14ac:dyDescent="0.35">
      <c r="A130" s="75"/>
      <c r="B130" s="71"/>
      <c r="C130" s="67"/>
      <c r="D130" s="335" t="s">
        <v>189</v>
      </c>
      <c r="E130" s="471">
        <v>0</v>
      </c>
      <c r="F130" s="472">
        <v>0</v>
      </c>
      <c r="G130" s="471" t="e">
        <v>#DIV/0!</v>
      </c>
      <c r="H130" s="471">
        <v>0</v>
      </c>
      <c r="I130" s="471">
        <v>0</v>
      </c>
      <c r="J130" s="471" t="e">
        <v>#DIV/0!</v>
      </c>
      <c r="K130" s="471">
        <v>0</v>
      </c>
      <c r="L130" s="471">
        <v>0</v>
      </c>
      <c r="M130" s="471" t="e">
        <v>#DIV/0!</v>
      </c>
      <c r="N130" s="471">
        <v>1</v>
      </c>
      <c r="O130" s="471">
        <v>1</v>
      </c>
      <c r="P130" s="471">
        <v>100</v>
      </c>
      <c r="Q130" s="471">
        <v>0</v>
      </c>
      <c r="R130" s="471">
        <v>0</v>
      </c>
      <c r="S130" s="471" t="e">
        <v>#DIV/0!</v>
      </c>
      <c r="T130" s="471">
        <v>0</v>
      </c>
      <c r="U130" s="471">
        <v>0</v>
      </c>
      <c r="V130" s="471" t="e">
        <v>#DIV/0!</v>
      </c>
      <c r="W130" s="475">
        <v>5</v>
      </c>
      <c r="X130" s="475">
        <v>4</v>
      </c>
      <c r="Y130" s="471">
        <f t="shared" si="63"/>
        <v>80</v>
      </c>
    </row>
    <row r="131" spans="1:25" ht="19.5" customHeight="1" x14ac:dyDescent="0.35">
      <c r="A131" s="89"/>
      <c r="B131" s="103"/>
      <c r="C131" s="104"/>
      <c r="D131" s="139"/>
      <c r="E131" s="91">
        <f>SUM(E120:E130)</f>
        <v>0</v>
      </c>
      <c r="F131" s="91">
        <f t="shared" ref="F131:X131" si="64">SUM(F120:F130)</f>
        <v>0</v>
      </c>
      <c r="G131" s="91" t="e">
        <f>F131/E131*100</f>
        <v>#DIV/0!</v>
      </c>
      <c r="H131" s="91">
        <f t="shared" si="64"/>
        <v>0</v>
      </c>
      <c r="I131" s="91">
        <f t="shared" si="64"/>
        <v>0</v>
      </c>
      <c r="J131" s="91" t="e">
        <f>I131/H131*100</f>
        <v>#DIV/0!</v>
      </c>
      <c r="K131" s="91">
        <f t="shared" si="64"/>
        <v>0</v>
      </c>
      <c r="L131" s="91">
        <f t="shared" si="64"/>
        <v>0</v>
      </c>
      <c r="M131" s="91" t="e">
        <f>L131/K131*100</f>
        <v>#DIV/0!</v>
      </c>
      <c r="N131" s="91">
        <f t="shared" si="64"/>
        <v>8</v>
      </c>
      <c r="O131" s="91">
        <f t="shared" si="64"/>
        <v>6</v>
      </c>
      <c r="P131" s="91">
        <f>O131/N131*100</f>
        <v>75</v>
      </c>
      <c r="Q131" s="91">
        <f t="shared" si="64"/>
        <v>0</v>
      </c>
      <c r="R131" s="91">
        <f t="shared" si="64"/>
        <v>0</v>
      </c>
      <c r="S131" s="91" t="e">
        <f>R131/Q131*100</f>
        <v>#DIV/0!</v>
      </c>
      <c r="T131" s="91">
        <f t="shared" si="64"/>
        <v>0</v>
      </c>
      <c r="U131" s="91">
        <f t="shared" si="64"/>
        <v>0</v>
      </c>
      <c r="V131" s="91" t="e">
        <f>U131/T131*100</f>
        <v>#DIV/0!</v>
      </c>
      <c r="W131" s="91">
        <f t="shared" si="64"/>
        <v>23</v>
      </c>
      <c r="X131" s="91">
        <f t="shared" si="64"/>
        <v>20</v>
      </c>
      <c r="Y131" s="545">
        <f t="shared" si="63"/>
        <v>86.956521739130437</v>
      </c>
    </row>
    <row r="132" spans="1:25" ht="21" customHeight="1" x14ac:dyDescent="0.35">
      <c r="A132" s="311">
        <v>11</v>
      </c>
      <c r="B132" s="336"/>
      <c r="C132" s="176" t="s">
        <v>179</v>
      </c>
      <c r="D132" s="624" t="s">
        <v>168</v>
      </c>
      <c r="E132" s="475">
        <v>2</v>
      </c>
      <c r="F132" s="475">
        <v>1</v>
      </c>
      <c r="G132" s="475">
        <f>F132/E132*100</f>
        <v>50</v>
      </c>
      <c r="H132" s="477">
        <v>0</v>
      </c>
      <c r="I132" s="477">
        <v>0</v>
      </c>
      <c r="J132" s="526">
        <v>0</v>
      </c>
      <c r="K132" s="477">
        <v>0</v>
      </c>
      <c r="L132" s="477">
        <v>0</v>
      </c>
      <c r="M132" s="526">
        <v>0</v>
      </c>
      <c r="N132" s="475">
        <v>1</v>
      </c>
      <c r="O132" s="475">
        <v>1</v>
      </c>
      <c r="P132" s="475">
        <f>O132/N132*100</f>
        <v>100</v>
      </c>
      <c r="Q132" s="475">
        <v>3</v>
      </c>
      <c r="R132" s="477">
        <v>1</v>
      </c>
      <c r="S132" s="477">
        <f>R132/Q132*100</f>
        <v>33.333333333333329</v>
      </c>
      <c r="T132" s="475">
        <v>0</v>
      </c>
      <c r="U132" s="475">
        <v>0</v>
      </c>
      <c r="V132" s="475">
        <v>0</v>
      </c>
      <c r="W132" s="475">
        <v>1</v>
      </c>
      <c r="X132" s="475">
        <f t="shared" ref="X132" si="65">X240</f>
        <v>0</v>
      </c>
      <c r="Y132" s="475">
        <f>X132/W132*100</f>
        <v>0</v>
      </c>
    </row>
    <row r="133" spans="1:25" ht="21" customHeight="1" x14ac:dyDescent="0.35">
      <c r="A133" s="306"/>
      <c r="B133" s="310"/>
      <c r="C133" s="116"/>
      <c r="D133" s="624" t="s">
        <v>169</v>
      </c>
      <c r="E133" s="475">
        <v>0</v>
      </c>
      <c r="F133" s="475">
        <v>0</v>
      </c>
      <c r="G133" s="475">
        <v>0</v>
      </c>
      <c r="H133" s="477">
        <v>0</v>
      </c>
      <c r="I133" s="477">
        <v>0</v>
      </c>
      <c r="J133" s="477">
        <v>0</v>
      </c>
      <c r="K133" s="477">
        <v>0</v>
      </c>
      <c r="L133" s="477">
        <v>0</v>
      </c>
      <c r="M133" s="526">
        <v>0</v>
      </c>
      <c r="N133" s="475">
        <v>1</v>
      </c>
      <c r="O133" s="475">
        <v>0</v>
      </c>
      <c r="P133" s="475">
        <v>0</v>
      </c>
      <c r="Q133" s="475">
        <v>1</v>
      </c>
      <c r="R133" s="477">
        <v>0</v>
      </c>
      <c r="S133" s="477">
        <v>0</v>
      </c>
      <c r="T133" s="475">
        <v>0</v>
      </c>
      <c r="U133" s="475">
        <v>0</v>
      </c>
      <c r="V133" s="475">
        <v>0</v>
      </c>
      <c r="W133" s="475">
        <v>1</v>
      </c>
      <c r="X133" s="475">
        <f t="shared" ref="X133" si="66">X157</f>
        <v>0</v>
      </c>
      <c r="Y133" s="475">
        <f t="shared" ref="Y133:Y142" si="67">X133/W133*100</f>
        <v>0</v>
      </c>
    </row>
    <row r="134" spans="1:25" ht="21" customHeight="1" x14ac:dyDescent="0.35">
      <c r="A134" s="306"/>
      <c r="B134" s="310"/>
      <c r="C134" s="116"/>
      <c r="D134" s="624" t="s">
        <v>170</v>
      </c>
      <c r="E134" s="475">
        <v>0</v>
      </c>
      <c r="F134" s="475">
        <v>0</v>
      </c>
      <c r="G134" s="477">
        <v>0</v>
      </c>
      <c r="H134" s="477">
        <v>0</v>
      </c>
      <c r="I134" s="477">
        <v>0</v>
      </c>
      <c r="J134" s="477">
        <v>0</v>
      </c>
      <c r="K134" s="477">
        <v>0</v>
      </c>
      <c r="L134" s="477">
        <v>0</v>
      </c>
      <c r="M134" s="526">
        <v>0</v>
      </c>
      <c r="N134" s="477">
        <f t="shared" ref="N134" si="68">N226</f>
        <v>0</v>
      </c>
      <c r="O134" s="475">
        <v>0</v>
      </c>
      <c r="P134" s="475">
        <v>0</v>
      </c>
      <c r="Q134" s="477">
        <f t="shared" ref="Q134" si="69">Q226</f>
        <v>0</v>
      </c>
      <c r="R134" s="477">
        <v>0</v>
      </c>
      <c r="S134" s="477">
        <v>0</v>
      </c>
      <c r="T134" s="475">
        <v>0</v>
      </c>
      <c r="U134" s="475">
        <v>0</v>
      </c>
      <c r="V134" s="475">
        <v>0</v>
      </c>
      <c r="W134" s="477">
        <v>5</v>
      </c>
      <c r="X134" s="477">
        <f t="shared" ref="X134" si="70">X226</f>
        <v>0</v>
      </c>
      <c r="Y134" s="475">
        <f t="shared" si="67"/>
        <v>0</v>
      </c>
    </row>
    <row r="135" spans="1:25" ht="21" customHeight="1" x14ac:dyDescent="0.35">
      <c r="A135" s="306"/>
      <c r="B135" s="310"/>
      <c r="C135" s="116"/>
      <c r="D135" s="624" t="s">
        <v>171</v>
      </c>
      <c r="E135" s="475">
        <v>0</v>
      </c>
      <c r="F135" s="475">
        <v>0</v>
      </c>
      <c r="G135" s="475">
        <v>0</v>
      </c>
      <c r="H135" s="477">
        <v>0</v>
      </c>
      <c r="I135" s="477">
        <v>0</v>
      </c>
      <c r="J135" s="477">
        <v>0</v>
      </c>
      <c r="K135" s="477">
        <v>0</v>
      </c>
      <c r="L135" s="477">
        <v>0</v>
      </c>
      <c r="M135" s="526">
        <v>0</v>
      </c>
      <c r="N135" s="475">
        <f t="shared" ref="N135" si="71">N205</f>
        <v>0</v>
      </c>
      <c r="O135" s="475">
        <v>0</v>
      </c>
      <c r="P135" s="475">
        <v>0</v>
      </c>
      <c r="Q135" s="475">
        <f t="shared" ref="Q135" si="72">Q205</f>
        <v>0</v>
      </c>
      <c r="R135" s="477">
        <v>0</v>
      </c>
      <c r="S135" s="477">
        <v>0</v>
      </c>
      <c r="T135" s="475">
        <v>0</v>
      </c>
      <c r="U135" s="475">
        <v>0</v>
      </c>
      <c r="V135" s="475">
        <v>0</v>
      </c>
      <c r="W135" s="475">
        <f t="shared" ref="W135:X135" si="73">W205</f>
        <v>0</v>
      </c>
      <c r="X135" s="475">
        <f t="shared" si="73"/>
        <v>0</v>
      </c>
      <c r="Y135" s="475" t="e">
        <f t="shared" si="67"/>
        <v>#DIV/0!</v>
      </c>
    </row>
    <row r="136" spans="1:25" ht="21" customHeight="1" x14ac:dyDescent="0.35">
      <c r="A136" s="306"/>
      <c r="B136" s="310"/>
      <c r="C136" s="116"/>
      <c r="D136" s="624" t="s">
        <v>175</v>
      </c>
      <c r="E136" s="475">
        <v>0</v>
      </c>
      <c r="F136" s="475">
        <v>0</v>
      </c>
      <c r="G136" s="475">
        <v>0</v>
      </c>
      <c r="H136" s="477">
        <v>0</v>
      </c>
      <c r="I136" s="477">
        <v>0</v>
      </c>
      <c r="J136" s="477">
        <v>0</v>
      </c>
      <c r="K136" s="477">
        <v>0</v>
      </c>
      <c r="L136" s="477">
        <v>0</v>
      </c>
      <c r="M136" s="526">
        <v>0</v>
      </c>
      <c r="N136" s="475">
        <v>1</v>
      </c>
      <c r="O136" s="475">
        <v>0</v>
      </c>
      <c r="P136" s="475">
        <v>0</v>
      </c>
      <c r="Q136" s="475">
        <f t="shared" ref="Q136" si="74">Q165</f>
        <v>0</v>
      </c>
      <c r="R136" s="477">
        <v>0</v>
      </c>
      <c r="S136" s="477">
        <v>0</v>
      </c>
      <c r="T136" s="475">
        <v>0</v>
      </c>
      <c r="U136" s="475">
        <v>0</v>
      </c>
      <c r="V136" s="475">
        <v>0</v>
      </c>
      <c r="W136" s="475">
        <f t="shared" ref="W136:X136" si="75">W165</f>
        <v>0</v>
      </c>
      <c r="X136" s="475">
        <f t="shared" si="75"/>
        <v>0</v>
      </c>
      <c r="Y136" s="475" t="e">
        <f t="shared" si="67"/>
        <v>#DIV/0!</v>
      </c>
    </row>
    <row r="137" spans="1:25" ht="21" customHeight="1" x14ac:dyDescent="0.35">
      <c r="A137" s="306"/>
      <c r="B137" s="310"/>
      <c r="C137" s="116"/>
      <c r="D137" s="624" t="s">
        <v>174</v>
      </c>
      <c r="E137" s="475">
        <v>0</v>
      </c>
      <c r="F137" s="475">
        <v>0</v>
      </c>
      <c r="G137" s="477">
        <v>0</v>
      </c>
      <c r="H137" s="477">
        <v>0</v>
      </c>
      <c r="I137" s="477">
        <v>0</v>
      </c>
      <c r="J137" s="477">
        <v>0</v>
      </c>
      <c r="K137" s="477">
        <v>0</v>
      </c>
      <c r="L137" s="477">
        <v>0</v>
      </c>
      <c r="M137" s="526">
        <v>0</v>
      </c>
      <c r="N137" s="477">
        <f t="shared" ref="N137" si="76">N216</f>
        <v>0</v>
      </c>
      <c r="O137" s="475">
        <v>0</v>
      </c>
      <c r="P137" s="475">
        <v>0</v>
      </c>
      <c r="Q137" s="477">
        <v>1</v>
      </c>
      <c r="R137" s="477">
        <v>0</v>
      </c>
      <c r="S137" s="477">
        <v>0</v>
      </c>
      <c r="T137" s="475">
        <v>0</v>
      </c>
      <c r="U137" s="475">
        <v>0</v>
      </c>
      <c r="V137" s="475">
        <v>0</v>
      </c>
      <c r="W137" s="477">
        <v>1</v>
      </c>
      <c r="X137" s="477">
        <f t="shared" ref="X137" si="77">X216</f>
        <v>0</v>
      </c>
      <c r="Y137" s="475">
        <f t="shared" si="67"/>
        <v>0</v>
      </c>
    </row>
    <row r="138" spans="1:25" ht="21" customHeight="1" x14ac:dyDescent="0.35">
      <c r="A138" s="306"/>
      <c r="B138" s="310"/>
      <c r="C138" s="116"/>
      <c r="D138" s="624" t="s">
        <v>172</v>
      </c>
      <c r="E138" s="475">
        <v>0</v>
      </c>
      <c r="F138" s="475">
        <v>0</v>
      </c>
      <c r="G138" s="475">
        <v>0</v>
      </c>
      <c r="H138" s="477">
        <v>0</v>
      </c>
      <c r="I138" s="477">
        <v>0</v>
      </c>
      <c r="J138" s="477">
        <v>0</v>
      </c>
      <c r="K138" s="477">
        <v>0</v>
      </c>
      <c r="L138" s="477">
        <v>0</v>
      </c>
      <c r="M138" s="526">
        <v>0</v>
      </c>
      <c r="N138" s="475">
        <v>2</v>
      </c>
      <c r="O138" s="477">
        <v>0</v>
      </c>
      <c r="P138" s="475">
        <v>0</v>
      </c>
      <c r="Q138" s="475">
        <v>2</v>
      </c>
      <c r="R138" s="477">
        <v>0</v>
      </c>
      <c r="S138" s="477">
        <v>0</v>
      </c>
      <c r="T138" s="477">
        <v>0</v>
      </c>
      <c r="U138" s="477">
        <v>0</v>
      </c>
      <c r="V138" s="475">
        <v>0</v>
      </c>
      <c r="W138" s="475">
        <v>4</v>
      </c>
      <c r="X138" s="475">
        <f t="shared" ref="X138" si="78">X192</f>
        <v>0</v>
      </c>
      <c r="Y138" s="475">
        <f t="shared" si="67"/>
        <v>0</v>
      </c>
    </row>
    <row r="139" spans="1:25" ht="21" customHeight="1" x14ac:dyDescent="0.35">
      <c r="A139" s="306"/>
      <c r="B139" s="310"/>
      <c r="C139" s="116"/>
      <c r="D139" s="624" t="s">
        <v>176</v>
      </c>
      <c r="E139" s="475">
        <v>0</v>
      </c>
      <c r="F139" s="475">
        <v>0</v>
      </c>
      <c r="G139" s="475">
        <v>0</v>
      </c>
      <c r="H139" s="477">
        <v>0</v>
      </c>
      <c r="I139" s="477">
        <v>0</v>
      </c>
      <c r="J139" s="477">
        <v>0</v>
      </c>
      <c r="K139" s="477">
        <v>0</v>
      </c>
      <c r="L139" s="477">
        <v>0</v>
      </c>
      <c r="M139" s="526">
        <v>0</v>
      </c>
      <c r="N139" s="475">
        <f t="shared" ref="N139" si="79">N172</f>
        <v>0</v>
      </c>
      <c r="O139" s="477">
        <v>0</v>
      </c>
      <c r="P139" s="475">
        <v>0</v>
      </c>
      <c r="Q139" s="475">
        <f t="shared" ref="Q139" si="80">Q172</f>
        <v>0</v>
      </c>
      <c r="R139" s="477">
        <v>0</v>
      </c>
      <c r="S139" s="477">
        <v>0</v>
      </c>
      <c r="T139" s="477">
        <v>0</v>
      </c>
      <c r="U139" s="477">
        <v>0</v>
      </c>
      <c r="V139" s="475">
        <v>0</v>
      </c>
      <c r="W139" s="475">
        <f t="shared" ref="W139:X139" si="81">W172</f>
        <v>0</v>
      </c>
      <c r="X139" s="475">
        <f t="shared" si="81"/>
        <v>0</v>
      </c>
      <c r="Y139" s="475" t="e">
        <f t="shared" si="67"/>
        <v>#DIV/0!</v>
      </c>
    </row>
    <row r="140" spans="1:25" ht="21" customHeight="1" x14ac:dyDescent="0.35">
      <c r="A140" s="306"/>
      <c r="B140" s="310"/>
      <c r="C140" s="116"/>
      <c r="D140" s="624" t="s">
        <v>173</v>
      </c>
      <c r="E140" s="475">
        <v>0</v>
      </c>
      <c r="F140" s="475">
        <v>0</v>
      </c>
      <c r="G140" s="475">
        <v>0</v>
      </c>
      <c r="H140" s="477">
        <v>0</v>
      </c>
      <c r="I140" s="477">
        <v>0</v>
      </c>
      <c r="J140" s="477">
        <v>0</v>
      </c>
      <c r="K140" s="477">
        <v>0</v>
      </c>
      <c r="L140" s="477">
        <v>0</v>
      </c>
      <c r="M140" s="526">
        <v>0</v>
      </c>
      <c r="N140" s="475">
        <f t="shared" ref="N140" si="82">N180</f>
        <v>0</v>
      </c>
      <c r="O140" s="477">
        <v>0</v>
      </c>
      <c r="P140" s="475">
        <v>0</v>
      </c>
      <c r="Q140" s="475">
        <f t="shared" ref="Q140" si="83">Q180</f>
        <v>0</v>
      </c>
      <c r="R140" s="477">
        <v>0</v>
      </c>
      <c r="S140" s="477">
        <v>0</v>
      </c>
      <c r="T140" s="477">
        <v>0</v>
      </c>
      <c r="U140" s="477">
        <v>0</v>
      </c>
      <c r="V140" s="475">
        <v>0</v>
      </c>
      <c r="W140" s="475">
        <f t="shared" ref="W140:X140" si="84">W180</f>
        <v>0</v>
      </c>
      <c r="X140" s="475">
        <f t="shared" si="84"/>
        <v>0</v>
      </c>
      <c r="Y140" s="475" t="e">
        <f t="shared" si="67"/>
        <v>#DIV/0!</v>
      </c>
    </row>
    <row r="141" spans="1:25" ht="21" customHeight="1" x14ac:dyDescent="0.35">
      <c r="A141" s="312"/>
      <c r="B141" s="310"/>
      <c r="C141" s="116"/>
      <c r="D141" s="624" t="s">
        <v>177</v>
      </c>
      <c r="E141" s="475">
        <v>0</v>
      </c>
      <c r="F141" s="475">
        <v>0</v>
      </c>
      <c r="G141" s="475">
        <v>0</v>
      </c>
      <c r="H141" s="477">
        <v>0</v>
      </c>
      <c r="I141" s="477">
        <v>0</v>
      </c>
      <c r="J141" s="477">
        <v>0</v>
      </c>
      <c r="K141" s="477">
        <v>0</v>
      </c>
      <c r="L141" s="477">
        <v>0</v>
      </c>
      <c r="M141" s="526">
        <v>0</v>
      </c>
      <c r="N141" s="475">
        <v>1</v>
      </c>
      <c r="O141" s="477">
        <v>0</v>
      </c>
      <c r="P141" s="475">
        <v>0</v>
      </c>
      <c r="Q141" s="475">
        <f t="shared" ref="Q141" si="85">Q263</f>
        <v>0</v>
      </c>
      <c r="R141" s="477">
        <v>0</v>
      </c>
      <c r="S141" s="477">
        <v>0</v>
      </c>
      <c r="T141" s="477">
        <v>0</v>
      </c>
      <c r="U141" s="477">
        <v>0</v>
      </c>
      <c r="V141" s="475">
        <v>0</v>
      </c>
      <c r="W141" s="475">
        <f t="shared" ref="W141:X141" si="86">W263</f>
        <v>0</v>
      </c>
      <c r="X141" s="475">
        <f t="shared" si="86"/>
        <v>0</v>
      </c>
      <c r="Y141" s="475" t="e">
        <f t="shared" si="67"/>
        <v>#DIV/0!</v>
      </c>
    </row>
    <row r="142" spans="1:25" ht="21" customHeight="1" x14ac:dyDescent="0.35">
      <c r="A142" s="625"/>
      <c r="B142" s="626"/>
      <c r="C142" s="627"/>
      <c r="D142" s="627"/>
      <c r="E142" s="126">
        <f>SUM(E132:E141)</f>
        <v>2</v>
      </c>
      <c r="F142" s="126">
        <f t="shared" ref="F142:X142" si="87">SUM(F132:F141)</f>
        <v>1</v>
      </c>
      <c r="G142" s="126">
        <f>F142/E142*100</f>
        <v>50</v>
      </c>
      <c r="H142" s="126">
        <f t="shared" si="87"/>
        <v>0</v>
      </c>
      <c r="I142" s="126">
        <f t="shared" si="87"/>
        <v>0</v>
      </c>
      <c r="J142" s="126" t="e">
        <f>I142/H142*100</f>
        <v>#DIV/0!</v>
      </c>
      <c r="K142" s="126">
        <f t="shared" si="87"/>
        <v>0</v>
      </c>
      <c r="L142" s="126">
        <f t="shared" si="87"/>
        <v>0</v>
      </c>
      <c r="M142" s="126" t="e">
        <f>L142/K142*100</f>
        <v>#DIV/0!</v>
      </c>
      <c r="N142" s="126">
        <f t="shared" si="87"/>
        <v>6</v>
      </c>
      <c r="O142" s="126">
        <f t="shared" si="87"/>
        <v>1</v>
      </c>
      <c r="P142" s="519">
        <f>O142/N142*100</f>
        <v>16.666666666666664</v>
      </c>
      <c r="Q142" s="126">
        <f t="shared" si="87"/>
        <v>7</v>
      </c>
      <c r="R142" s="126">
        <f t="shared" si="87"/>
        <v>1</v>
      </c>
      <c r="S142" s="126">
        <f>R142/Q142*100</f>
        <v>14.285714285714285</v>
      </c>
      <c r="T142" s="126">
        <f t="shared" si="87"/>
        <v>0</v>
      </c>
      <c r="U142" s="126">
        <f t="shared" si="87"/>
        <v>0</v>
      </c>
      <c r="V142" s="126" t="e">
        <f>U142/T142*100</f>
        <v>#DIV/0!</v>
      </c>
      <c r="W142" s="126">
        <f t="shared" si="87"/>
        <v>12</v>
      </c>
      <c r="X142" s="126">
        <f t="shared" si="87"/>
        <v>0</v>
      </c>
      <c r="Y142" s="628">
        <f t="shared" si="67"/>
        <v>0</v>
      </c>
    </row>
  </sheetData>
  <mergeCells count="52">
    <mergeCell ref="T6:T7"/>
    <mergeCell ref="U6:V6"/>
    <mergeCell ref="W6:W7"/>
    <mergeCell ref="X6:Y6"/>
    <mergeCell ref="C20:D20"/>
    <mergeCell ref="L6:M6"/>
    <mergeCell ref="N6:N7"/>
    <mergeCell ref="O6:P6"/>
    <mergeCell ref="Q6:Q7"/>
    <mergeCell ref="R6:S6"/>
    <mergeCell ref="E6:E7"/>
    <mergeCell ref="F6:G6"/>
    <mergeCell ref="H6:H7"/>
    <mergeCell ref="I6:J6"/>
    <mergeCell ref="K6:K7"/>
    <mergeCell ref="K5:M5"/>
    <mergeCell ref="N5:P5"/>
    <mergeCell ref="Q5:S5"/>
    <mergeCell ref="T5:V5"/>
    <mergeCell ref="W5:Y5"/>
    <mergeCell ref="B1:Y1"/>
    <mergeCell ref="D24:D26"/>
    <mergeCell ref="L25:M25"/>
    <mergeCell ref="C24:C26"/>
    <mergeCell ref="E24:G24"/>
    <mergeCell ref="H24:J24"/>
    <mergeCell ref="E25:E26"/>
    <mergeCell ref="F25:G25"/>
    <mergeCell ref="H25:H26"/>
    <mergeCell ref="I25:J25"/>
    <mergeCell ref="K24:M24"/>
    <mergeCell ref="W25:W26"/>
    <mergeCell ref="X25:Y25"/>
    <mergeCell ref="N25:N26"/>
    <mergeCell ref="O25:P25"/>
    <mergeCell ref="B2:Y2"/>
    <mergeCell ref="B3:Y3"/>
    <mergeCell ref="K25:K26"/>
    <mergeCell ref="N24:P24"/>
    <mergeCell ref="Q24:S24"/>
    <mergeCell ref="T24:V24"/>
    <mergeCell ref="W24:Y24"/>
    <mergeCell ref="Q25:Q26"/>
    <mergeCell ref="R25:S25"/>
    <mergeCell ref="T25:T26"/>
    <mergeCell ref="U25:V25"/>
    <mergeCell ref="A24:B26"/>
    <mergeCell ref="A5:B7"/>
    <mergeCell ref="C5:C7"/>
    <mergeCell ref="D5:D7"/>
    <mergeCell ref="E5:G5"/>
    <mergeCell ref="H5:J5"/>
  </mergeCells>
  <printOptions horizontalCentered="1"/>
  <pageMargins left="0.47244094488188981" right="0.47244094488188981" top="0.74803149606299213" bottom="0.74803149606299213" header="0.31496062992125984" footer="0.31496062992125984"/>
  <pageSetup paperSize="5" scale="42" fitToWidth="0" fitToHeight="0" orientation="landscape" horizontalDpi="4294967293" r:id="rId1"/>
  <rowBreaks count="2" manualBreakCount="2">
    <brk id="22" max="16383" man="1"/>
    <brk id="8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79 </vt:lpstr>
      <vt:lpstr>80</vt:lpstr>
      <vt:lpstr>81</vt:lpstr>
      <vt:lpstr>82</vt:lpstr>
      <vt:lpstr>83</vt:lpstr>
      <vt:lpstr>'79 '!Print_Area</vt:lpstr>
      <vt:lpstr>'80'!Print_Area</vt:lpstr>
      <vt:lpstr>'81'!Print_Area</vt:lpstr>
      <vt:lpstr>'82'!Print_Area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INTAN</dc:creator>
  <cp:lastModifiedBy>Satrio Pribadi</cp:lastModifiedBy>
  <cp:lastPrinted>2026-01-28T09:53:32Z</cp:lastPrinted>
  <dcterms:created xsi:type="dcterms:W3CDTF">2022-04-01T02:30:09Z</dcterms:created>
  <dcterms:modified xsi:type="dcterms:W3CDTF">2026-10-11T09:04:14Z</dcterms:modified>
</cp:coreProperties>
</file>